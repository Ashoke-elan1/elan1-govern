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Assumptions" sheetId="2" state="visible" r:id="rId4"/>
    <sheet name="Summary P&amp;L" sheetId="3" state="visible" r:id="rId5"/>
    <sheet name="Monthly FY2026-27" sheetId="4" state="visible" r:id="rId6"/>
    <sheet name="Quarterly FY2027-28" sheetId="5" state="visible" r:id="rId7"/>
    <sheet name="Annual FY2028-31" sheetId="6" state="visible" r:id="rId8"/>
    <sheet name="Revenue build" sheetId="7" state="visible" r:id="rId9"/>
    <sheet name="Cost build" sheetId="8" state="visible" r:id="rId10"/>
    <sheet name="Headcount" sheetId="9" state="visible" r:id="rId11"/>
    <sheet name="Unit economics" sheetId="10" state="visible" r:id="rId12"/>
    <sheet name="Cash and funding" sheetId="11" state="visible" r:id="rId13"/>
    <sheet name="Scenarios" sheetId="12" state="visible" r:id="rId14"/>
    <sheet name="Govern overlay" sheetId="13" state="visible" r:id="rId15"/>
    <sheet name="Gate calendar" sheetId="14" state="visible" r:id="rId16"/>
    <sheet name="Govern build status" sheetId="15" state="visible" r:id="rId17"/>
    <sheet name="Revision log" sheetId="16" state="visible" r:id="rId18"/>
  </sheets>
  <definedNames>
    <definedName function="false" hidden="false" localSheetId="5" name="_xlnm.Print_Area" vbProcedure="false">'Annual FY2028-31'!$A$1:$E$79</definedName>
    <definedName function="false" hidden="false" localSheetId="5" name="_xlnm.Print_Titles" vbProcedure="false">'Annual FY2028-31'!$1:$5</definedName>
    <definedName function="false" hidden="false" localSheetId="1" name="_xlnm.Print_Area" vbProcedure="false">Assumptions!$A$1:$K$117</definedName>
    <definedName function="false" hidden="false" localSheetId="1" name="_xlnm.Print_Titles" vbProcedure="false">Assumptions!$1:$5</definedName>
    <definedName function="false" hidden="false" localSheetId="10" name="_xlnm.Print_Area" vbProcedure="false">'Cash and funding'!$A$1:$I$103</definedName>
    <definedName function="false" hidden="false" localSheetId="10" name="_xlnm.Print_Titles" vbProcedure="false">'Cash and funding'!$1:$5</definedName>
    <definedName function="false" hidden="false" localSheetId="7" name="_xlnm.Print_Area" vbProcedure="false">'Cost build'!$A$1:$G$51</definedName>
    <definedName function="false" hidden="false" localSheetId="7" name="_xlnm.Print_Titles" vbProcedure="false">'Cost build'!$1:$5</definedName>
    <definedName function="false" hidden="false" localSheetId="0" name="_xlnm.Print_Area" vbProcedure="false">Cover!$A$1:$I$47</definedName>
    <definedName function="false" hidden="false" localSheetId="13" name="_xlnm.Print_Area" vbProcedure="false">'Gate calendar'!$A$1:$D$24</definedName>
    <definedName function="false" hidden="false" localSheetId="13" name="_xlnm.Print_Titles" vbProcedure="false">'Gate calendar'!$1:$5</definedName>
    <definedName function="false" hidden="false" localSheetId="8" name="_xlnm.Print_Area" vbProcedure="false">Headcount!$A$1:$L$90</definedName>
    <definedName function="false" hidden="false" localSheetId="8" name="_xlnm.Print_Titles" vbProcedure="false">Headcount!$1:$5</definedName>
    <definedName function="false" hidden="false" localSheetId="3" name="_xlnm.Print_Area" vbProcedure="false">'Monthly FY2026-27'!$A$1:$H$37</definedName>
    <definedName function="false" hidden="false" localSheetId="3" name="_xlnm.Print_Titles" vbProcedure="false">'Monthly FY2026-27'!$1:$5</definedName>
    <definedName function="false" hidden="false" localSheetId="4" name="_xlnm.Print_Area" vbProcedure="false">'Quarterly FY2027-28'!$A$1:$G$45</definedName>
    <definedName function="false" hidden="false" localSheetId="4" name="_xlnm.Print_Titles" vbProcedure="false">'Quarterly FY2027-28'!$1:$5</definedName>
    <definedName function="false" hidden="false" localSheetId="6" name="_xlnm.Print_Area" vbProcedure="false">'Revenue build'!$A$1:$T$68</definedName>
    <definedName function="false" hidden="false" localSheetId="6" name="_xlnm.Print_Titles" vbProcedure="false">'Revenue build'!$1:$5</definedName>
    <definedName function="false" hidden="true" localSheetId="15" name="_xlnm._FilterDatabase" vbProcedure="false">'Revision log'!$A$5:$J$297</definedName>
    <definedName function="false" hidden="false" localSheetId="11" name="_xlnm.Print_Area" vbProcedure="false">Scenarios!$A$1:$E$42</definedName>
    <definedName function="false" hidden="false" localSheetId="11" name="_xlnm.Print_Titles" vbProcedure="false">Scenarios!$1:$5</definedName>
    <definedName function="false" hidden="false" localSheetId="2" name="_xlnm.Print_Area" vbProcedure="false">'Summary P&amp;L'!$A$1:$F$63</definedName>
    <definedName function="false" hidden="false" localSheetId="2" name="_xlnm.Print_Titles" vbProcedure="false">'Summary P&amp;L'!$1:$5</definedName>
    <definedName function="false" hidden="false" localSheetId="9" name="_xlnm.Print_Area" vbProcedure="false">'Unit economics'!$A$1:$T$65</definedName>
    <definedName function="false" hidden="false" localSheetId="9" name="_xlnm.Print_Titles" vbProcedure="false">'Unit economics'!$1:$5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<sst xmlns="http://schemas.openxmlformats.org/spreadsheetml/2006/main" count="4022" uniqueCount="1250">
  <si>
    <t xml:space="preserve">Elan1 Govern · Series A Financial Model</t>
  </si>
  <si>
    <t xml:space="preserve">The governance platform for AI agents — it decides before every tool call, makes a named person approve the risky ones, refuses what it must, and produces the proof</t>
  </si>
  <si>
    <t xml:space="preserve">Prepared for Series A investors  ·  Plan period October 2026 to March 2031  ·  22 September 2026, revised 27 October 2026  ·  Strictly confidential</t>
  </si>
  <si>
    <t xml:space="preserve">Revised edition 27 October 2026 — see Revision log</t>
  </si>
  <si>
    <t xml:space="preserve">THE ASK</t>
  </si>
  <si>
    <t xml:space="preserve">Series A round</t>
  </si>
  <si>
    <t xml:space="preserve">Rs 180.0 crore  /  US$20.0 million, in three tranches against gates</t>
  </si>
  <si>
    <t xml:space="preserve">Founder and angel bridge</t>
  </si>
  <si>
    <t xml:space="preserve">Rs 8.0 crore, October 2026 — precedes the round and is not part of the Rs 180 crore</t>
  </si>
  <si>
    <t xml:space="preserve">Tranche 1 — close</t>
  </si>
  <si>
    <t xml:space="preserve">Rs 63.0 crore, March 2027</t>
  </si>
  <si>
    <t xml:space="preserve">Tranche 2 — Gate A</t>
  </si>
  <si>
    <t xml:space="preserve">Rs 72.0 crore, October 2028</t>
  </si>
  <si>
    <t xml:space="preserve">Tranche 3 — Gate B</t>
  </si>
  <si>
    <t xml:space="preserve">Rs 45.0 crore, July 2029</t>
  </si>
  <si>
    <t xml:space="preserve">Minimum cash on the plan</t>
  </si>
  <si>
    <t xml:space="preserve">Rs 4.4 crore, February 2027 — the month before tranche 1 closes</t>
  </si>
  <si>
    <t xml:space="preserve">CURRENCY CONVENTION</t>
  </si>
  <si>
    <t xml:space="preserve">Reporting currency</t>
  </si>
  <si>
    <t xml:space="preserve">Indian rupees. 1 crore = 10,000,000; 1 lakh = 100,000</t>
  </si>
  <si>
    <t xml:space="preserve">US dollar view</t>
  </si>
  <si>
    <t xml:space="preserve">Rs 90.00 = US$1.00 throughout. Rs crore ÷ 9 = US$ million</t>
  </si>
  <si>
    <t xml:space="preserve">Units</t>
  </si>
  <si>
    <t xml:space="preserve">Figures are in Rs crore unless the sheet states otherwise</t>
  </si>
  <si>
    <t xml:space="preserve">HOW THIS WORKBOOK IS BUILT</t>
  </si>
  <si>
    <t xml:space="preserve">One 54-month engine drives every number. Months run October 2026 to March 2031.</t>
  </si>
  <si>
    <t xml:space="preserve">The monthly, quarterly and annual views on the sheets that follow are aggregations of that single engine,</t>
  </si>
  <si>
    <t xml:space="preserve">so monthly, quarterly and annual figures tie to the rupee by construction — nothing is entered twice.</t>
  </si>
  <si>
    <t xml:space="preserve">Engine outputs are hardcoded. Derived lines — gross profit, margins, totals, percentages of revenue and the</t>
  </si>
  <si>
    <t xml:space="preserve">opening-to-closing cash chain — are live Excel formulas, so a reader can trace and re-run the arithmetic.</t>
  </si>
  <si>
    <t xml:space="preserve">Refusals are metered at quantity zero and are never billed. Prices are flat to March 2029, then 4% p.a.</t>
  </si>
  <si>
    <t xml:space="preserve">TAB INDEX</t>
  </si>
  <si>
    <t xml:space="preserve">Sheet</t>
  </si>
  <si>
    <t xml:space="preserve">What it shows</t>
  </si>
  <si>
    <t xml:space="preserve">Assumptions</t>
  </si>
  <si>
    <t xml:space="preserve">Every driver and price in one place — price book, ramps, bands, funding schedule</t>
  </si>
  <si>
    <t xml:space="preserve">Summary P&amp;L</t>
  </si>
  <si>
    <t xml:space="preserve">Five financial years: revenue to EBIT, exit ARR, cash, headcount, tenants; US$ block</t>
  </si>
  <si>
    <t xml:space="preserve">Monthly FY2026-27</t>
  </si>
  <si>
    <t xml:space="preserve">October 2026 to March 2027 month by month in Rs lakh, plus headcount by function</t>
  </si>
  <si>
    <t xml:space="preserve">Quarterly FY2027-28</t>
  </si>
  <si>
    <t xml:space="preserve">The four FY2027-28 quarters in detail, then all 18 quarters of the plan</t>
  </si>
  <si>
    <t xml:space="preserve">Annual FY2028-31</t>
  </si>
  <si>
    <t xml:space="preserve">The three scale years in full: P&amp;L, revenue and opex by line, people, customers</t>
  </si>
  <si>
    <t xml:space="preserve">Revenue build</t>
  </si>
  <si>
    <t xml:space="preserve">Every revenue line by year and by quarter, with the channel contra and the mix</t>
  </si>
  <si>
    <t xml:space="preserve">Cost build</t>
  </si>
  <si>
    <t xml:space="preserve">COGS split and every operating cost line by year, with percentage of revenue</t>
  </si>
  <si>
    <t xml:space="preserve">Headcount</t>
  </si>
  <si>
    <t xml:space="preserve">All ten functions by month for 54 months, year-end bands and the people-cost bridge</t>
  </si>
  <si>
    <t xml:space="preserve">Unit economics</t>
  </si>
  <si>
    <t xml:space="preserve">Governed action volumes, revenue and cost per action, and the price anchors</t>
  </si>
  <si>
    <t xml:space="preserve">Cash and funding</t>
  </si>
  <si>
    <t xml:space="preserve">54-month cash chain: opening, EBITDA, capex, working capital, funding, closing</t>
  </si>
  <si>
    <t xml:space="preserve">Scenarios</t>
  </si>
  <si>
    <t xml:space="preserve">Base, downside and upside side by side, with the scenario definitions</t>
  </si>
  <si>
    <t xml:space="preserve">Gate calendar</t>
  </si>
  <si>
    <t xml:space="preserve">The dated events that release tranches and turn on revenue lines</t>
  </si>
  <si>
    <t xml:space="preserve">All figures generated 22 September 2026 from the elan1 Series A engine. Do not alter engine outputs without re-running the model.</t>
  </si>
  <si>
    <t xml:space="preserve">Revised 27 October 2026. The product is renamed Elan1 Govern. In the original pages, 'elan1' meaning the product or kernel should be read as Elan1 Govern; 'elan1 Private Limited' remains the entity. Engine outputs are unchanged; every addition is listed on the Revision log, and the new Elan1 Govern switches on Assumptions are OFF in the base case.</t>
  </si>
  <si>
    <t xml:space="preserve">ADDED IN THE REVISED EDITION</t>
  </si>
  <si>
    <t xml:space="preserve">Govern overlay</t>
  </si>
  <si>
    <t xml:space="preserve">Elan1 Govern increments behind three switches — governance layer, reads billed, reads cost; zero when OFF</t>
  </si>
  <si>
    <t xml:space="preserve">Govern build status</t>
  </si>
  <si>
    <t xml:space="preserve">What the Elan1 Govern code does today, capability by capability, with evidence and its effect on the model</t>
  </si>
  <si>
    <t xml:space="preserve">Revision log</t>
  </si>
  <si>
    <t xml:space="preserve">Every cell changed or added on 27 October 2026, with old and new values, reason and provenance</t>
  </si>
  <si>
    <t xml:space="preserve">Assumptions and drivers</t>
  </si>
  <si>
    <t xml:space="preserve">Every price, ramp, rate and funding event that the 54-month engine reads. Change a driver here and the engine must be re-run.</t>
  </si>
  <si>
    <t xml:space="preserve">Units are stated on each line. Rs = Indian rupees; cr = crore (10,000,000); L = lakh (100,000).</t>
  </si>
  <si>
    <t xml:space="preserve">PRICE BOOK — Rs, annual unless stated</t>
  </si>
  <si>
    <t xml:space="preserve">Item</t>
  </si>
  <si>
    <t xml:space="preserve">Price (Rs)</t>
  </si>
  <si>
    <t xml:space="preserve">Unit</t>
  </si>
  <si>
    <t xml:space="preserve">Platform floor, L1 Guarded</t>
  </si>
  <si>
    <t xml:space="preserve">per tenant per year</t>
  </si>
  <si>
    <t xml:space="preserve">Platform floor, L2 Attested</t>
  </si>
  <si>
    <t xml:space="preserve">Platform floor, L3 Proven</t>
  </si>
  <si>
    <t xml:space="preserve">Sovereign / on-premises deployment</t>
  </si>
  <si>
    <t xml:space="preserve">per deployment per year</t>
  </si>
  <si>
    <t xml:space="preserve">Included governed actions, L1</t>
  </si>
  <si>
    <t xml:space="preserve">actions per tenant per year</t>
  </si>
  <si>
    <t xml:space="preserve">Included governed actions, L2</t>
  </si>
  <si>
    <t xml:space="preserve">Included governed actions, L3</t>
  </si>
  <si>
    <t xml:space="preserve">Governed action beyond allowance, L1</t>
  </si>
  <si>
    <t xml:space="preserve">Rs per action</t>
  </si>
  <si>
    <t xml:space="preserve">Governed action beyond allowance, L2</t>
  </si>
  <si>
    <t xml:space="preserve">Governed action beyond allowance, L3</t>
  </si>
  <si>
    <t xml:space="preserve">Governed action, sovereign deployment</t>
  </si>
  <si>
    <t xml:space="preserve">Governed action, internal transfer to rung1</t>
  </si>
  <si>
    <t xml:space="preserve">Regulatory pack (blended)</t>
  </si>
  <si>
    <t xml:space="preserve">Evidence bundle beyond allowance</t>
  </si>
  <si>
    <t xml:space="preserve">Rs each</t>
  </si>
  <si>
    <t xml:space="preserve">Verifier profile</t>
  </si>
  <si>
    <t xml:space="preserve">per regime per year</t>
  </si>
  <si>
    <t xml:space="preserve">Counterparty verification seat</t>
  </si>
  <si>
    <t xml:space="preserve">per year</t>
  </si>
  <si>
    <t xml:space="preserve">Partner certification</t>
  </si>
  <si>
    <t xml:space="preserve">per firm per year</t>
  </si>
  <si>
    <t xml:space="preserve">Refusals are metered at quantity zero and are never billed. List prices are flat to March 2029 and escalate 4% per annum thereafter.</t>
  </si>
  <si>
    <t xml:space="preserve">Included-action allowances are consumed first; only actions beyond the allowance are billed at the per-action rate.</t>
  </si>
  <si>
    <t xml:space="preserve">DEMAND, MIX AND CHANNEL DRIVERS — monthly ramp, end of month</t>
  </si>
  <si>
    <t xml:space="preserve">Month</t>
  </si>
  <si>
    <t xml:space="preserve">Tenants, total</t>
  </si>
  <si>
    <t xml:space="preserve">of which L1</t>
  </si>
  <si>
    <t xml:space="preserve">of which L2</t>
  </si>
  <si>
    <t xml:space="preserve">of which L3</t>
  </si>
  <si>
    <t xml:space="preserve">Sovereign</t>
  </si>
  <si>
    <t xml:space="preserve">Partner firms</t>
  </si>
  <si>
    <t xml:space="preserve">Internal GA / month</t>
  </si>
  <si>
    <t xml:space="preserve">Pack attach</t>
  </si>
  <si>
    <t xml:space="preserve">Channel share</t>
  </si>
  <si>
    <t xml:space="preserve">Cost per GA (Rs)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</si>
  <si>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</si>
  <si>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</si>
  <si>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</si>
  <si>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</si>
  <si>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</si>
  <si>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</si>
  <si>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</si>
  <si>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</si>
  <si>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</si>
  <si>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</si>
  <si>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</si>
  <si>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</si>
  <si>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</si>
  <si>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</si>
  <si>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</si>
  <si>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Jan 2028</t>
  </si>
  <si>
    <t xml:space="preserve">Feb 2028</t>
  </si>
  <si>
    <t xml:space="preserve">Mar 2028</t>
  </si>
  <si>
    <t xml:space="preserve">Apr 2028</t>
  </si>
  <si>
    <t xml:space="preserve">May 2028</t>
  </si>
  <si>
    <t xml:space="preserve">Jun 2028</t>
  </si>
  <si>
    <t xml:space="preserve">Jul 2028</t>
  </si>
  <si>
    <t xml:space="preserve">Aug 2028</t>
  </si>
  <si>
    <t xml:space="preserve">Sep 2028</t>
  </si>
  <si>
    <t xml:space="preserve">Oct 2028</t>
  </si>
  <si>
    <t xml:space="preserve">Nov 2028</t>
  </si>
  <si>
    <t xml:space="preserve">Dec 2028</t>
  </si>
  <si>
    <t xml:space="preserve">Jan 2029</t>
  </si>
  <si>
    <t xml:space="preserve">Feb 2029</t>
  </si>
  <si>
    <t xml:space="preserve">Mar 2029</t>
  </si>
  <si>
    <t xml:space="preserve">Apr 2029</t>
  </si>
  <si>
    <t xml:space="preserve">May 2029</t>
  </si>
  <si>
    <t xml:space="preserve">Jun 2029</t>
  </si>
  <si>
    <t xml:space="preserve">Jul 2029</t>
  </si>
  <si>
    <t xml:space="preserve">Aug 2029</t>
  </si>
  <si>
    <t xml:space="preserve">Sep 2029</t>
  </si>
  <si>
    <t xml:space="preserve">Oct 2029</t>
  </si>
  <si>
    <t xml:space="preserve">Nov 2029</t>
  </si>
  <si>
    <t xml:space="preserve">Dec 2029</t>
  </si>
  <si>
    <t xml:space="preserve">Jan 2030</t>
  </si>
  <si>
    <t xml:space="preserve">Feb 2030</t>
  </si>
  <si>
    <t xml:space="preserve">Mar 2030</t>
  </si>
  <si>
    <t xml:space="preserve">Apr 2030</t>
  </si>
  <si>
    <t xml:space="preserve">May 2030</t>
  </si>
  <si>
    <t xml:space="preserve">Jun 2030</t>
  </si>
  <si>
    <t xml:space="preserve">Jul 2030</t>
  </si>
  <si>
    <t xml:space="preserve">Aug 2030</t>
  </si>
  <si>
    <t xml:space="preserve">Sep 2030</t>
  </si>
  <si>
    <t xml:space="preserve">Oct 2030</t>
  </si>
  <si>
    <t xml:space="preserve">Nov 2030</t>
  </si>
  <si>
    <t xml:space="preserve">Dec 2030</t>
  </si>
  <si>
    <t xml:space="preserve">Jan 2031</t>
  </si>
  <si>
    <t xml:space="preserve">Feb 2031</t>
  </si>
  <si>
    <t xml:space="preserve">Mar 2031</t>
  </si>
  <si>
    <t xml:space="preserve">Tenant ramp anchors: first external paying tenant July 2027; 39 by March 2028; 148 by March 2029; 312 by March 2030; 545 by March 2031.</t>
  </si>
  <si>
    <t xml:space="preserve">Assurance mix: L1 only until April 2028; L2 general availability April 2028 ramps to 36-39% of tenants; L3 entry October 2029 reaching about 10%.</t>
  </si>
  <si>
    <t xml:space="preserve">External governed actions per tenant per month: L1 72,000 · L2 300,000 · L3 1,250,000, each growing 8% per annum.</t>
  </si>
  <si>
    <t xml:space="preserve">Channel: partners keep 18% of list on partner-sourced revenue; partner-sourced share of external revenue rises from 0% to 45% by March 2031, shown as a contra-revenue line.</t>
  </si>
  <si>
    <t xml:space="preserve">Cost per governed action is the blended runtime and infrastructure unit cost (stack1 internal cost plus 15%), falling from Rs 0.092 to Rs 0.052.</t>
  </si>
  <si>
    <t xml:space="preserve">PEOPLE — fully loaded salary bands by function</t>
  </si>
  <si>
    <t xml:space="preserve">Function</t>
  </si>
  <si>
    <t xml:space="preserve">Band Rs L/yr</t>
  </si>
  <si>
    <t xml:space="preserve">Kernel engineering</t>
  </si>
  <si>
    <t xml:space="preserve">Evidence and cryptography</t>
  </si>
  <si>
    <t xml:space="preserve">Pack and regulatory engineering</t>
  </si>
  <si>
    <t xml:space="preserve">Platform and SRE</t>
  </si>
  <si>
    <t xml:space="preserve">Security, compliance, certification</t>
  </si>
  <si>
    <t xml:space="preserve">Product and design</t>
  </si>
  <si>
    <t xml:space="preserve">Solutions and field engineering</t>
  </si>
  <si>
    <t xml:space="preserve">Go to market and partners</t>
  </si>
  <si>
    <t xml:space="preserve">Standards, policy, regulator affairs</t>
  </si>
  <si>
    <t xml:space="preserve">Finance, legal and operations</t>
  </si>
  <si>
    <t xml:space="preserve">Total headcount</t>
  </si>
  <si>
    <t xml:space="preserve">Salary escalation</t>
  </si>
  <si>
    <t xml:space="preserve">per annum on all bands</t>
  </si>
  <si>
    <t xml:space="preserve">ESOP charge</t>
  </si>
  <si>
    <t xml:space="preserve">of cash people cost, non-cash, charged below EBITDA</t>
  </si>
  <si>
    <t xml:space="preserve">Days sales outstanding (DSO)</t>
  </si>
  <si>
    <t xml:space="preserve">days, on external revenue only; internal rung1 transfer settles same month</t>
  </si>
  <si>
    <t xml:space="preserve">Capex</t>
  </si>
  <si>
    <t xml:space="preserve">Rs 60,000 per month base plus Rs 3,200 per head, plus a Rs 14 lakh fit-out each April</t>
  </si>
  <si>
    <t xml:space="preserve">Contingency</t>
  </si>
  <si>
    <t xml:space="preserve">of all other operating cost lines</t>
  </si>
  <si>
    <t xml:space="preserve">FUNDING SCHEDULE</t>
  </si>
  <si>
    <t xml:space="preserve">Event</t>
  </si>
  <si>
    <t xml:space="preserve">Amount (Rs cr)</t>
  </si>
  <si>
    <t xml:space="preserve">Amount (US$ m)</t>
  </si>
  <si>
    <t xml:space="preserve">Series A tranche 1 (close, Mar 2027)</t>
  </si>
  <si>
    <t xml:space="preserve">Series A tranche 2 (Gate A, Oct 2028)</t>
  </si>
  <si>
    <t xml:space="preserve">Series A tranche 3 (Gate B, Jul 2029)</t>
  </si>
  <si>
    <t xml:space="preserve">Total funding into the plan</t>
  </si>
  <si>
    <t xml:space="preserve">of which Series A</t>
  </si>
  <si>
    <t xml:space="preserve">Tranche 2 releases on Gate A (October 2028) and tranche 3 on Gate B (July 2029); see the Gate calendar sheet for the tested conditions.</t>
  </si>
  <si>
    <t xml:space="preserve">ELAN1 GOVERN DRIVERS AND SWITCHES — added 27 October 2026 (all switches OFF in the base case)</t>
  </si>
  <si>
    <t xml:space="preserve">Driver</t>
  </si>
  <si>
    <t xml:space="preserve">Value</t>
  </si>
  <si>
    <t xml:space="preserve">Provenance</t>
  </si>
  <si>
    <t xml:space="preserve">Note</t>
  </si>
  <si>
    <t xml:space="preserve">Governance layer revenue switch</t>
  </si>
  <si>
    <t xml:space="preserve">1 = on, 0 = off</t>
  </si>
  <si>
    <t xml:space="preserve">MODELLED</t>
  </si>
  <si>
    <t xml:space="preserve">OFF in the base case. Turns on the AI inventory / assessments / frameworks add-on line on 'Govern overlay'.</t>
  </si>
  <si>
    <t xml:space="preserve">Governance layer price</t>
  </si>
  <si>
    <t xml:space="preserve">Rs per paying tenant per year</t>
  </si>
  <si>
    <t xml:space="preserve">Half the L1 platform floor (B7). Per-tenant add-on: per-governed-action pricing and Rs 0 refusals are untouched.</t>
  </si>
  <si>
    <t xml:space="preserve">Governance layer attach, FY2026-27</t>
  </si>
  <si>
    <t xml:space="preserve">share of paying tenants</t>
  </si>
  <si>
    <t xml:space="preserve">No paying tenants until July 2027.</t>
  </si>
  <si>
    <t xml:space="preserve">Governance layer attach, FY2027-28</t>
  </si>
  <si>
    <t xml:space="preserve">Rides the existing tenant ramp (B29:B82); adds no customers.</t>
  </si>
  <si>
    <t xml:space="preserve">Governance layer attach, FY2028-29</t>
  </si>
  <si>
    <t xml:space="preserve">Governance layer attach, FY2029-30</t>
  </si>
  <si>
    <t xml:space="preserve">Governance layer attach, FY2030-31</t>
  </si>
  <si>
    <t xml:space="preserve">Governance layer cost of revenue</t>
  </si>
  <si>
    <t xml:space="preserve">of gross line revenue</t>
  </si>
  <si>
    <t xml:space="preserve">Hosting and support for inventory, assessments and framework reports.</t>
  </si>
  <si>
    <t xml:space="preserve">Channel margin kept by partners</t>
  </si>
  <si>
    <t xml:space="preserve">of list on partner-sourced revenue</t>
  </si>
  <si>
    <t xml:space="preserve">ENGINE (A86)</t>
  </si>
  <si>
    <t xml:space="preserve">Applied with the monthly channel share in column J.</t>
  </si>
  <si>
    <t xml:space="preserve">List price escalation from April 2029</t>
  </si>
  <si>
    <t xml:space="preserve">per annum</t>
  </si>
  <si>
    <t xml:space="preserve">ENGINE (A24)</t>
  </si>
  <si>
    <t xml:space="preserve">Flat to March 2029, then 4% a year, as for the price book.</t>
  </si>
  <si>
    <t xml:space="preserve">Reads metered switch</t>
  </si>
  <si>
    <t xml:space="preserve">OFF: whether reads are billed is an unmade pricing decision. Scenario only. Billing reads implies governing them, so read with B134.</t>
  </si>
  <si>
    <t xml:space="preserve">Read : write ratio</t>
  </si>
  <si>
    <t xml:space="preserve">reads per governed action</t>
  </si>
  <si>
    <t xml:space="preserve">Applies to all governed actions (internal and external).</t>
  </si>
  <si>
    <t xml:space="preserve">Share of reads billed</t>
  </si>
  <si>
    <t xml:space="preserve">beyond the included allowance</t>
  </si>
  <si>
    <t xml:space="preserve">Allowance mechanics are not reproduced outside the engine.</t>
  </si>
  <si>
    <t xml:space="preserve">Read price</t>
  </si>
  <si>
    <t xml:space="preserve">Rs per allowed read</t>
  </si>
  <si>
    <t xml:space="preserve">Refusals stay at quantity zero and are never billed.</t>
  </si>
  <si>
    <t xml:space="preserve">Reads runtime-cost switch</t>
  </si>
  <si>
    <t xml:space="preserve">OFF in the base case. TOP MODEL RISK: the code audit (commit 22388ad) shows a signed receipt for every governed call, reads included, but the engine's cost per governed action (K29:K82) covers writes only. Per-read cost is unmeasured.</t>
  </si>
  <si>
    <t xml:space="preserve">Read check cost</t>
  </si>
  <si>
    <t xml:space="preserve">× cost per governed action (column K)</t>
  </si>
  <si>
    <t xml:space="preserve">Per-read cost is still unmeasured (the 27 Oct 2026 code audit confirms reads are receipted but did not measure cost); replace with the measured figure.</t>
  </si>
  <si>
    <t xml:space="preserve">These drivers feed only the 'Govern overlay' sheet and the overlay blocks on Summary P&amp;L (rows 39 to 50) and Scenarios (rows 43 to 62). Engine outputs are unchanged whatever the switches say. Shaded cells are inputs.</t>
  </si>
  <si>
    <t xml:space="preserve">Summary profit and loss — five financial years</t>
  </si>
  <si>
    <t xml:space="preserve">The full plan at annual grain: revenue to EBIT, exit ARR, closing cash, headcount and paying tenants. Derived lines are live formulas.</t>
  </si>
  <si>
    <t xml:space="preserve">Rs crore, except margins (%), headcount and tenant counts. Financial years end 31 March. US$ block below at Rs 90.00 = US$1.00.</t>
  </si>
  <si>
    <t xml:space="preserve">Rs crore</t>
  </si>
  <si>
    <t xml:space="preserve">FY2026-27</t>
  </si>
  <si>
    <t xml:space="preserve">FY2027-28</t>
  </si>
  <si>
    <t xml:space="preserve">FY2028-29</t>
  </si>
  <si>
    <t xml:space="preserve">FY2029-30</t>
  </si>
  <si>
    <t xml:space="preserve">FY2030-31</t>
  </si>
  <si>
    <t xml:space="preserve">Revenue</t>
  </si>
  <si>
    <t xml:space="preserve">Cost of revenue</t>
  </si>
  <si>
    <t xml:space="preserve">Gross profit</t>
  </si>
  <si>
    <t xml:space="preserve">Gross margin %</t>
  </si>
  <si>
    <t xml:space="preserve">Operating expenses</t>
  </si>
  <si>
    <t xml:space="preserve">EBITDA</t>
  </si>
  <si>
    <t xml:space="preserve">ESOP charge (non-cash)</t>
  </si>
  <si>
    <t xml:space="preserve">EBIT</t>
  </si>
  <si>
    <t xml:space="preserve">EBITDA margin %</t>
  </si>
  <si>
    <t xml:space="preserve">POSITION AT YEAR END</t>
  </si>
  <si>
    <t xml:space="preserve">Exit ARR</t>
  </si>
  <si>
    <t xml:space="preserve">Closing cash</t>
  </si>
  <si>
    <t xml:space="preserve">Funding received in year</t>
  </si>
  <si>
    <t xml:space="preserve">Headcount at year end</t>
  </si>
  <si>
    <t xml:space="preserve">Paying tenants at year end</t>
  </si>
  <si>
    <t xml:space="preserve">Certified partner firms at year end</t>
  </si>
  <si>
    <t xml:space="preserve">Sovereign deployments at year end</t>
  </si>
  <si>
    <t xml:space="preserve">US DOLLAR VIEW AT Rs 90.00 = US$1.00  (Rs crore ÷ 9 = US$ million)</t>
  </si>
  <si>
    <t xml:space="preserve">US$ million</t>
  </si>
  <si>
    <t xml:space="preserve">US$ figures are a presentation of the rupee plan at a fixed rate; no currency hedging or translation gain is modelled.</t>
  </si>
  <si>
    <t xml:space="preserve">ELAN1 GOVERN OVERLAY — zero unless switched on at Assumptions B120, B130 or B134</t>
  </si>
  <si>
    <t xml:space="preserve">Incremental revenue</t>
  </si>
  <si>
    <t xml:space="preserve">Incremental cost of revenue</t>
  </si>
  <si>
    <t xml:space="preserve">Incremental EBITDA</t>
  </si>
  <si>
    <t xml:space="preserve">Revenue including overlay</t>
  </si>
  <si>
    <t xml:space="preserve">Gross margin % including overlay</t>
  </si>
  <si>
    <t xml:space="preserve">EBITDA including overlay</t>
  </si>
  <si>
    <t xml:space="preserve">Closing cash including overlay</t>
  </si>
  <si>
    <t xml:space="preserve">Exit ARR including overlay</t>
  </si>
  <si>
    <t xml:space="preserve">Rows 6 to 24 remain the engine base on which the Information Memorandum and the tranche gates are quoted. See Scenarios rows 45 to 62 for each Elan1 Govern sensitivity.</t>
  </si>
  <si>
    <t xml:space="preserve">Monthly detail — H2 FY2026-27 (October 2026 to March 2027)</t>
  </si>
  <si>
    <t xml:space="preserve">The six months from company formation to Series A close: burn, funding and the first internal governed actions.</t>
  </si>
  <si>
    <t xml:space="preserve">Rs lakh (1 lakh = 100,000), except headcount and governed actions, which are counts.</t>
  </si>
  <si>
    <t xml:space="preserve">Rs lakh</t>
  </si>
  <si>
    <t xml:space="preserve">H2 total</t>
  </si>
  <si>
    <t xml:space="preserve">Net burn</t>
  </si>
  <si>
    <t xml:space="preserve">Funding in</t>
  </si>
  <si>
    <t xml:space="preserve">OPERATING MEASURES</t>
  </si>
  <si>
    <t xml:space="preserve">Headcount at month end</t>
  </si>
  <si>
    <t xml:space="preserve">Governed actions in month</t>
  </si>
  <si>
    <t xml:space="preserve">  of which internal (rung1)</t>
  </si>
  <si>
    <t xml:space="preserve">  of which external</t>
  </si>
  <si>
    <t xml:space="preserve">Paying tenants at month end</t>
  </si>
  <si>
    <t xml:space="preserve">HEADCOUNT BY FUNCTION — end of month</t>
  </si>
  <si>
    <t xml:space="preserve">Minimum cash across the whole plan occurs in February 2027 at Rs 444.66 lakh (Rs 4.4 crore), the month before the Rs 63 crore tranche 1 closes.</t>
  </si>
  <si>
    <t xml:space="preserve">Quarterly detail — FY2027-28, and the full 18-quarter arc</t>
  </si>
  <si>
    <t xml:space="preserve">The first year of external revenue quarter by quarter, then every quarter of the plan so the shape of the build is visible in one view.</t>
  </si>
  <si>
    <t xml:space="preserve">Rs crore, except margins (%) and counts. Quarters are financial-year quarters ending June, September, December and March.</t>
  </si>
  <si>
    <t xml:space="preserve">Q1  Jun 27</t>
  </si>
  <si>
    <t xml:space="preserve">Q2  Sep 27</t>
  </si>
  <si>
    <t xml:space="preserve">Q3  Dec 27</t>
  </si>
  <si>
    <t xml:space="preserve">Q4  Mar 28</t>
  </si>
  <si>
    <t xml:space="preserve">POSITION AT QUARTER END</t>
  </si>
  <si>
    <t xml:space="preserve">Paying tenants</t>
  </si>
  <si>
    <t xml:space="preserve">Certified partner firms</t>
  </si>
  <si>
    <t xml:space="preserve">Governed actions in quarter (millions)</t>
  </si>
  <si>
    <t xml:space="preserve">ALL 18 QUARTERS OF THE PLAN</t>
  </si>
  <si>
    <t xml:space="preserve">Quarter</t>
  </si>
  <si>
    <t xml:space="preserve">FY2026-27 Q3</t>
  </si>
  <si>
    <t xml:space="preserve">FY2026-27 Q4</t>
  </si>
  <si>
    <t xml:space="preserve">FY2027-28 Q1</t>
  </si>
  <si>
    <t xml:space="preserve">FY2027-28 Q2</t>
  </si>
  <si>
    <t xml:space="preserve">FY2027-28 Q3</t>
  </si>
  <si>
    <t xml:space="preserve">FY2027-28 Q4</t>
  </si>
  <si>
    <t xml:space="preserve">FY2028-29 Q1</t>
  </si>
  <si>
    <t xml:space="preserve">FY2028-29 Q2</t>
  </si>
  <si>
    <t xml:space="preserve">FY2028-29 Q3</t>
  </si>
  <si>
    <t xml:space="preserve">FY2028-29 Q4</t>
  </si>
  <si>
    <t xml:space="preserve">FY2029-30 Q1</t>
  </si>
  <si>
    <t xml:space="preserve">FY2029-30 Q2</t>
  </si>
  <si>
    <t xml:space="preserve">FY2029-30 Q3</t>
  </si>
  <si>
    <t xml:space="preserve">FY2029-30 Q4</t>
  </si>
  <si>
    <t xml:space="preserve">FY2030-31 Q1</t>
  </si>
  <si>
    <t xml:space="preserve">FY2030-31 Q2</t>
  </si>
  <si>
    <t xml:space="preserve">FY2030-31 Q3</t>
  </si>
  <si>
    <t xml:space="preserve">FY2030-31 Q4</t>
  </si>
  <si>
    <t xml:space="preserve">Plan total / final quarter</t>
  </si>
  <si>
    <t xml:space="preserve">Revenue and EBITDA columns sum across the 18 quarters; exit ARR, cash and tenants are point-in-time and carry the final quarter.</t>
  </si>
  <si>
    <t xml:space="preserve">The three scale years — FY2028-29 to FY2030-31</t>
  </si>
  <si>
    <t xml:space="preserve">Full detail for the years the Series A is raised against: profit and loss, every revenue and cost line, people, customers and unit economics.</t>
  </si>
  <si>
    <t xml:space="preserve">Rs crore, except margins (%), counts, and per-action rates in Rs. Financial years end 31 March.</t>
  </si>
  <si>
    <t xml:space="preserve">CAGR / total</t>
  </si>
  <si>
    <t xml:space="preserve">REVENUE BY LINE</t>
  </si>
  <si>
    <t xml:space="preserve">3-year total</t>
  </si>
  <si>
    <t xml:space="preserve">Platform licence</t>
  </si>
  <si>
    <t xml:space="preserve">Governed actions - external</t>
  </si>
  <si>
    <t xml:space="preserve">Governed actions - internal (rung1)</t>
  </si>
  <si>
    <t xml:space="preserve">Evidence SKU</t>
  </si>
  <si>
    <t xml:space="preserve">Regulatory packs</t>
  </si>
  <si>
    <t xml:space="preserve">Sovereign deployments</t>
  </si>
  <si>
    <t xml:space="preserve">Channel margin (contra)</t>
  </si>
  <si>
    <t xml:space="preserve">Total revenue</t>
  </si>
  <si>
    <t xml:space="preserve">OPERATING EXPENSE BY LINE</t>
  </si>
  <si>
    <t xml:space="preserve">International expansion</t>
  </si>
  <si>
    <t xml:space="preserve">People (ex-COGS)</t>
  </si>
  <si>
    <t xml:space="preserve">Certification and audit</t>
  </si>
  <si>
    <t xml:space="preserve">Legal, IP and entities</t>
  </si>
  <si>
    <t xml:space="preserve">Standards and regulator affairs</t>
  </si>
  <si>
    <t xml:space="preserve">Sales and marketing programmes</t>
  </si>
  <si>
    <t xml:space="preserve">R&amp;D tooling and evaluation</t>
  </si>
  <si>
    <t xml:space="preserve">Insurance</t>
  </si>
  <si>
    <t xml:space="preserve">Facilities, IT and G&amp;A</t>
  </si>
  <si>
    <t xml:space="preserve">Total operating expenses</t>
  </si>
  <si>
    <t xml:space="preserve">HEADCOUNT BY FUNCTION — end of financial year</t>
  </si>
  <si>
    <t xml:space="preserve">CUSTOMERS, CHANNEL AND DEPLOYMENTS — end of financial year</t>
  </si>
  <si>
    <t xml:space="preserve">Count</t>
  </si>
  <si>
    <t xml:space="preserve">L1 Guarded tenants</t>
  </si>
  <si>
    <t xml:space="preserve">L2 Attested tenants</t>
  </si>
  <si>
    <t xml:space="preserve">L3 Proven tenants</t>
  </si>
  <si>
    <t xml:space="preserve">Paying tenants, total</t>
  </si>
  <si>
    <t xml:space="preserve">Sovereign / on-premises deployments</t>
  </si>
  <si>
    <t xml:space="preserve">UNIT ECONOMICS</t>
  </si>
  <si>
    <t xml:space="preserve">Measure</t>
  </si>
  <si>
    <t xml:space="preserve">Governed actions (millions)</t>
  </si>
  <si>
    <t xml:space="preserve">  internal (rung1)</t>
  </si>
  <si>
    <t xml:space="preserve">  external</t>
  </si>
  <si>
    <t xml:space="preserve">Revenue per governed action (Rs)</t>
  </si>
  <si>
    <t xml:space="preserve">Cost per governed action (Rs)</t>
  </si>
  <si>
    <t xml:space="preserve">Contribution per governed action (Rs)</t>
  </si>
  <si>
    <t xml:space="preserve">Revenue per head (Rs lakh)</t>
  </si>
  <si>
    <t xml:space="preserve">ARR per paying tenant (Rs lakh)</t>
  </si>
  <si>
    <t xml:space="preserve">Revenue per head uses headcount at year end. ARR per tenant divides exit ARR by paying tenants at year end and includes the internal rung1 transfer.</t>
  </si>
  <si>
    <t xml:space="preserve">Revenue build by line</t>
  </si>
  <si>
    <t xml:space="preserve">Every revenue line by financial year and by quarter, including the channel-margin contra. Totals are formulas so the build ties to the Summary P&amp;L.</t>
  </si>
  <si>
    <t xml:space="preserve">Rs crore. The channel-margin contra is negative: partners keep 18% of list on partner-sourced revenue.</t>
  </si>
  <si>
    <t xml:space="preserve">BY FINANCIAL YEAR</t>
  </si>
  <si>
    <t xml:space="preserve">Plan total</t>
  </si>
  <si>
    <t xml:space="preserve">REVENUE MIX — share of total revenue by financial year</t>
  </si>
  <si>
    <t xml:space="preserve">% of revenue</t>
  </si>
  <si>
    <t xml:space="preserve">Total</t>
  </si>
  <si>
    <t xml:space="preserve">BY QUARTER — all 18 quarters of the plan</t>
  </si>
  <si>
    <t xml:space="preserve">2026/27 Q3</t>
  </si>
  <si>
    <t xml:space="preserve">2026/27 Q4</t>
  </si>
  <si>
    <t xml:space="preserve">2027/28 Q1</t>
  </si>
  <si>
    <t xml:space="preserve">2027/28 Q2</t>
  </si>
  <si>
    <t xml:space="preserve">2027/28 Q3</t>
  </si>
  <si>
    <t xml:space="preserve">2027/28 Q4</t>
  </si>
  <si>
    <t xml:space="preserve">2028/29 Q1</t>
  </si>
  <si>
    <t xml:space="preserve">2028/29 Q2</t>
  </si>
  <si>
    <t xml:space="preserve">2028/29 Q3</t>
  </si>
  <si>
    <t xml:space="preserve">2028/29 Q4</t>
  </si>
  <si>
    <t xml:space="preserve">2029/30 Q1</t>
  </si>
  <si>
    <t xml:space="preserve">2029/30 Q2</t>
  </si>
  <si>
    <t xml:space="preserve">2029/30 Q3</t>
  </si>
  <si>
    <t xml:space="preserve">2029/30 Q4</t>
  </si>
  <si>
    <t xml:space="preserve">2030/31 Q1</t>
  </si>
  <si>
    <t xml:space="preserve">2030/31 Q2</t>
  </si>
  <si>
    <t xml:space="preserve">2030/31 Q3</t>
  </si>
  <si>
    <t xml:space="preserve">2030/31 Q4</t>
  </si>
  <si>
    <t xml:space="preserve">Quarterly columns are labelled by financial-year quarter; Q1 ends June, Q2 September, Q3 December and Q4 March.</t>
  </si>
  <si>
    <t xml:space="preserve">Cost build — cost of revenue and operating expenses</t>
  </si>
  <si>
    <t xml:space="preserve">The COGS split and every operating cost line by financial year, with totals as formulas and each line as a percentage of revenue.</t>
  </si>
  <si>
    <t xml:space="preserve">Rs crore, except the percentage blocks. Percentages are of total revenue in the same financial year.</t>
  </si>
  <si>
    <t xml:space="preserve">Revenue (memo)</t>
  </si>
  <si>
    <t xml:space="preserve">COST OF REVENUE</t>
  </si>
  <si>
    <t xml:space="preserve">Runtime and infrastructure (stack1 internal cost + 15%)</t>
  </si>
  <si>
    <t xml:space="preserve">Timestamp anchoring (two authorities)</t>
  </si>
  <si>
    <t xml:space="preserve">Delivery and customer success</t>
  </si>
  <si>
    <t xml:space="preserve">Total cost of revenue</t>
  </si>
  <si>
    <t xml:space="preserve">OPERATING EXPENSES BY LINE</t>
  </si>
  <si>
    <t xml:space="preserve">COST AS A PERCENTAGE OF REVENUE</t>
  </si>
  <si>
    <t xml:space="preserve">FY2026-27 percentages are not meaningful: revenue in that year is Rs 0.01 crore against a full engineering build.</t>
  </si>
  <si>
    <t xml:space="preserve">Contingency is set at 5.5% of all other operating cost lines and is held centrally, not allocated to functions.</t>
  </si>
  <si>
    <t xml:space="preserve">Headcount plan — all ten functions, 54 months</t>
  </si>
  <si>
    <t xml:space="preserve">Headcount at the end of every month from October 2026 to March 2031, then the year-end picture with salary bands and the people-cost bridge.</t>
  </si>
  <si>
    <t xml:space="preserve">Counts of people. Months run down the rows; functions across the columns. Bands are fully loaded Rs lakh per year at FY2026-27 rates.</t>
  </si>
  <si>
    <t xml:space="preserve">Month end</t>
  </si>
  <si>
    <t xml:space="preserve">Security,
compliance,
certification</t>
  </si>
  <si>
    <t xml:space="preserve">Standards,
policy,
regulator affairs</t>
  </si>
  <si>
    <t xml:space="preserve">Finance,
legal and operations</t>
  </si>
  <si>
    <t xml:space="preserve">Peak headcount</t>
  </si>
  <si>
    <t xml:space="preserve">HEADCOUNT AT END OF FINANCIAL YEAR, WITH SALARY BANDS</t>
  </si>
  <si>
    <t xml:space="preserve">Net additions in year</t>
  </si>
  <si>
    <t xml:space="preserve">Bands are fully loaded (salary, employer cost, recruitment, equipment) at FY2026-27 rates and escalate 8% per annum thereafter.</t>
  </si>
  <si>
    <t xml:space="preserve">PEOPLE COST BRIDGE</t>
  </si>
  <si>
    <t xml:space="preserve">People cost in operating expenses</t>
  </si>
  <si>
    <t xml:space="preserve">Delivery and customer success in COGS</t>
  </si>
  <si>
    <t xml:space="preserve">Total cash people cost</t>
  </si>
  <si>
    <t xml:space="preserve">ESOP as % of cash people cost</t>
  </si>
  <si>
    <t xml:space="preserve">Total people cost including ESOP</t>
  </si>
  <si>
    <t xml:space="preserve">Average cash cost per head (Rs lakh)</t>
  </si>
  <si>
    <t xml:space="preserve">Average cash cost per head divides the year's total cash people cost by headcount at year end, so it understates the run-rate band in years of rapid hiring.</t>
  </si>
  <si>
    <t xml:space="preserve">The ESOP charge is modelled at 11% of cash people cost. It is non-cash and is charged below EBITDA, between EBITDA and EBIT.</t>
  </si>
  <si>
    <t xml:space="preserve">Unit economics — the governed action</t>
  </si>
  <si>
    <t xml:space="preserve">Volumes, revenue per governed action and cost per governed action by financial year and by quarter, with the external price anchors.</t>
  </si>
  <si>
    <t xml:space="preserve">Volumes in millions of governed actions. Rates in Rs per governed action, to three decimals. Margins in per cent.</t>
  </si>
  <si>
    <t xml:space="preserve">Governed actions — internal (rung1), millions</t>
  </si>
  <si>
    <t xml:space="preserve">Governed actions — external, millions</t>
  </si>
  <si>
    <t xml:space="preserve">Governed actions — total, millions</t>
  </si>
  <si>
    <t xml:space="preserve">Revenue (Rs crore)</t>
  </si>
  <si>
    <t xml:space="preserve">Cost of revenue (Rs crore)</t>
  </si>
  <si>
    <t xml:space="preserve">FY2026-27 revenue per action is the Rs 0.40 internal transfer price only; cost per action that year carries the fixed anchoring and platform floor across 0.36 million actions, so margin is not meaningful.</t>
  </si>
  <si>
    <t xml:space="preserve">BY QUARTER — all 18 quarters</t>
  </si>
  <si>
    <t xml:space="preserve">Plan</t>
  </si>
  <si>
    <t xml:space="preserve">Governed actions — internal, millions</t>
  </si>
  <si>
    <t xml:space="preserve">PRICE ANCHORS — Rs per governed action</t>
  </si>
  <si>
    <t xml:space="preserve">Anchor</t>
  </si>
  <si>
    <t xml:space="preserve">US$ per action</t>
  </si>
  <si>
    <t xml:space="preserve">Elan1 Govern — internal transfer price to rung1</t>
  </si>
  <si>
    <t xml:space="preserve">Cost-plus transfer inside the group; the floor of the price book</t>
  </si>
  <si>
    <t xml:space="preserve">Elan1 Govern — L1 Guarded, beyond allowance</t>
  </si>
  <si>
    <t xml:space="preserve">480,000 actions included per tenant per year</t>
  </si>
  <si>
    <t xml:space="preserve">Elan1 Govern — L2 Attested, beyond allowance</t>
  </si>
  <si>
    <t xml:space="preserve">1,500,000 actions included per tenant per year</t>
  </si>
  <si>
    <t xml:space="preserve">Elan1 Govern — L3 Proven, beyond allowance</t>
  </si>
  <si>
    <t xml:space="preserve">4,200,000 actions included per tenant per year</t>
  </si>
  <si>
    <t xml:space="preserve">Elan1 Govern — sovereign deployment</t>
  </si>
  <si>
    <t xml:space="preserve">On-premises; the platform floor carries the fixed cost</t>
  </si>
  <si>
    <t xml:space="preserve">Salesforce Agentforce</t>
  </si>
  <si>
    <t xml:space="preserve">US$0.10 per action (about Rs 8.80 at spot; Rs 9.00 at the workbook's Rs 90.00 rate)</t>
  </si>
  <si>
    <t xml:space="preserve">Elan1 Govern blended realised rate, FY2030-31</t>
  </si>
  <si>
    <t xml:space="preserve">Blended across internal and external volume at plan mix</t>
  </si>
  <si>
    <t xml:space="preserve">Microsoft Agent 365 is priced at US$15 per user per month. That is a per-seat anchor, not a per-action one, and is not directly comparable to a governed-action rate; it is quoted here only to frame the buyer's alternative.</t>
  </si>
  <si>
    <t xml:space="preserve">Elan1 Govern prices governed actions, not seats. Refusals are metered at quantity zero and are never billed, so the buyer pays only for actions that were allowed to complete.</t>
  </si>
  <si>
    <t xml:space="preserve">Cash and funding — 54-month chain</t>
  </si>
  <si>
    <t xml:space="preserve">Opening cash, EBITDA, capex, working capital and funding for every month of the plan. Closing cash is a live formula; the four funding events are highlighted.</t>
  </si>
  <si>
    <t xml:space="preserve">Rs crore. Working capital movement is the change in receivables at 55 days DSO on external revenue; a build in receivables is a cash outflow.</t>
  </si>
  <si>
    <t xml:space="preserve">Opening cash</t>
  </si>
  <si>
    <t xml:space="preserve">Working capital movement</t>
  </si>
  <si>
    <t xml:space="preserve">Founder and angel bridge  —  Rs 8.0 cr</t>
  </si>
  <si>
    <t xml:space="preserve">Series A tranche 1 (close, Mar 2027)  —  Rs 63.0 cr</t>
  </si>
  <si>
    <t xml:space="preserve">Series A tranche 2 (Gate A, Oct 2028)  —  Rs 72.0 cr</t>
  </si>
  <si>
    <t xml:space="preserve">Series A tranche 3 (Gate B, Jul 2029)  —  Rs 45.0 cr</t>
  </si>
  <si>
    <t xml:space="preserve">FUNDING AND CASH SUMMARY</t>
  </si>
  <si>
    <t xml:space="preserve">Rs 8.0 cr bridge plus Rs 180.0 cr Series A</t>
  </si>
  <si>
    <t xml:space="preserve">Three tranches against gates</t>
  </si>
  <si>
    <t xml:space="preserve">Closing cash, March 2031</t>
  </si>
  <si>
    <t xml:space="preserve">After the full plan, with no further raise</t>
  </si>
  <si>
    <t xml:space="preserve">Minimum cash across the plan</t>
  </si>
  <si>
    <t xml:space="preserve">The tightest month of the plan</t>
  </si>
  <si>
    <t xml:space="preserve">Month of minimum cash</t>
  </si>
  <si>
    <t xml:space="preserve">The month before tranche 1 closes</t>
  </si>
  <si>
    <t xml:space="preserve">Cumulative EBITDA across the plan</t>
  </si>
  <si>
    <t xml:space="preserve">Losses to FY2029-30, profit from FY2030-31</t>
  </si>
  <si>
    <t xml:space="preserve">Cumulative capex</t>
  </si>
  <si>
    <t xml:space="preserve">Equipment, fit-out and platform hardware</t>
  </si>
  <si>
    <t xml:space="preserve">Peak monthly burn</t>
  </si>
  <si>
    <t xml:space="preserve">Worst single month of net cash outflow</t>
  </si>
  <si>
    <t xml:space="preserve">Peak monthly burn month</t>
  </si>
  <si>
    <t xml:space="preserve">Peak burn precedes the crossover to profit</t>
  </si>
  <si>
    <t xml:space="preserve">Months of the plan</t>
  </si>
  <si>
    <t xml:space="preserve">October 2026 to March 2031</t>
  </si>
  <si>
    <t xml:space="preserve">Net burn is EBITDA less capex less the working capital build, signed so that a positive figure is cash going out of the door.</t>
  </si>
  <si>
    <t xml:space="preserve">No debt, no interest income and no tax are modelled. Cash is held in rupees; the US$ view is presentational only.</t>
  </si>
  <si>
    <t xml:space="preserve">Scenarios — base, downside and upside</t>
  </si>
  <si>
    <t xml:space="preserve">The same engine run with three sets of drivers. Revenue and EBITDA by financial year, then the cash and ARR outcomes each scenario produces.</t>
  </si>
  <si>
    <t xml:space="preserve">Rs crore. Scenario drivers are stated in full below the tables; nothing is adjusted outside them.</t>
  </si>
  <si>
    <t xml:space="preserve">REVENUE BY FINANCIAL YEAR</t>
  </si>
  <si>
    <t xml:space="preserve">Base</t>
  </si>
  <si>
    <t xml:space="preserve">Downside</t>
  </si>
  <si>
    <t xml:space="preserve">Upside</t>
  </si>
  <si>
    <t xml:space="preserve">Upside less downside</t>
  </si>
  <si>
    <t xml:space="preserve">Plan total revenue</t>
  </si>
  <si>
    <t xml:space="preserve">EBITDA BY FINANCIAL YEAR</t>
  </si>
  <si>
    <t xml:space="preserve">Cumulative EBITDA</t>
  </si>
  <si>
    <t xml:space="preserve">OUTCOMES</t>
  </si>
  <si>
    <t xml:space="preserve">Exit ARR, March 2031</t>
  </si>
  <si>
    <t xml:space="preserve">FY2030-31 revenue</t>
  </si>
  <si>
    <t xml:space="preserve">Revenue vs base</t>
  </si>
  <si>
    <t xml:space="preserve">SCENARIO DEFINITIONS</t>
  </si>
  <si>
    <t xml:space="preserve">Scenario</t>
  </si>
  <si>
    <t xml:space="preserve">Tenant additions</t>
  </si>
  <si>
    <t xml:space="preserve">Pricing</t>
  </si>
  <si>
    <t xml:space="preserve">Unit cost</t>
  </si>
  <si>
    <t xml:space="preserve">Timing</t>
  </si>
  <si>
    <t xml:space="preserve">As modelled</t>
  </si>
  <si>
    <t xml:space="preserve">Price book as listed</t>
  </si>
  <si>
    <t xml:space="preserve">No slip</t>
  </si>
  <si>
    <t xml:space="preserve">58% of base</t>
  </si>
  <si>
    <t xml:space="preserve">82% of base</t>
  </si>
  <si>
    <t xml:space="preserve">122% of base</t>
  </si>
  <si>
    <t xml:space="preserve">Six-month slip in every revenue event</t>
  </si>
  <si>
    <t xml:space="preserve">138% of base</t>
  </si>
  <si>
    <t xml:space="preserve">110% of base</t>
  </si>
  <si>
    <t xml:space="preserve">92% of base</t>
  </si>
  <si>
    <t xml:space="preserve">Each scenario is a clean re-run of the same engine with those four drivers changed. Nothing else is adjusted.</t>
  </si>
  <si>
    <t xml:space="preserve">The unmitigated downside runs out of cash: closing cash of Rs -157.9 crore in March 2031, with the shortfall opening in FY2029-30.</t>
  </si>
  <si>
    <t xml:space="preserve">The management response — hiring freeze, pack programme cut to the two funded packs, international expansion deferred — is a named action,</t>
  </si>
  <si>
    <t xml:space="preserve">not an assumption inside the scenario. It is deliberately excluded so that the downside shows the unmitigated shape of the risk.</t>
  </si>
  <si>
    <t xml:space="preserve">The upside needs no extra capital: minimum cash of Rs 4.3 crore is set in February 2027, before any of the upside drivers bite.</t>
  </si>
  <si>
    <t xml:space="preserve">Scope widening (27 October 2026): Elan1 Govern governs every agent tool call, reads and writes, in any industry, not only ERP writes in Indian finance. It is not in the base: there is no new customer evidence and the tenant ramp is not industry-specific. It is one reason the Upside's 138% tenant additions is plausible; no driver is changed.</t>
  </si>
  <si>
    <t xml:space="preserve">ELAN1 GOVERN SENSITIVITIES — TOP MODEL RISK: THE RUNTIME COST OF GOVERNING READS</t>
  </si>
  <si>
    <t xml:space="preserve">The code audit (commit 22388ad) confirms that every governed call, reads included, writes a signed hash-chained receipt; per-read cost is unmeasured, and the engine's cost per governed action covers writes only. Each column computes its case regardless of the live switches. Not part of the base: engine outputs above are unchanged. Indicative: reads at financial-year grain, no working-capital timing, no channel contra on read revenue.</t>
  </si>
  <si>
    <t xml:space="preserve">Base (engine, all switches OFF)</t>
  </si>
  <si>
    <t xml:space="preserve">Governance layer on</t>
  </si>
  <si>
    <t xml:space="preserve">Reads governed: 2× volume, 0.5× cost</t>
  </si>
  <si>
    <t xml:space="preserve">Reads governed: 1× volume, 1× cost</t>
  </si>
  <si>
    <t xml:space="preserve">Reads governed: 2× volume, 1× cost (stress)</t>
  </si>
  <si>
    <t xml:space="preserve">Reads billed at Rs 0.10 for half, plus cost (2×, 0.5×)</t>
  </si>
  <si>
    <t xml:space="preserve">Read check cost (× cost per governed action)</t>
  </si>
  <si>
    <t xml:space="preserve">Read price (Rs per billed read)</t>
  </si>
  <si>
    <t xml:space="preserve">Governance layer included (1 = yes)</t>
  </si>
  <si>
    <t xml:space="preserve">FY2028-29 gross margin %</t>
  </si>
  <si>
    <t xml:space="preserve">FY2028-29 gross margin change vs base (percentage points)</t>
  </si>
  <si>
    <t xml:space="preserve">FY2029-30 EBITDA</t>
  </si>
  <si>
    <t xml:space="preserve">FY2030-31 gross margin %</t>
  </si>
  <si>
    <t xml:space="preserve">FY2030-31 EBITDA</t>
  </si>
  <si>
    <t xml:space="preserve">Closing cash, 30 September 2028, approx. (Gate A floor Rs 14.13 cr MODELLED)</t>
  </si>
  <si>
    <t xml:space="preserve">The 2× volume at 0.5× cost and 1× volume at 1× cost cases give identical results because cost is linear in ratio × cost factor. The Sep 2028 figure adds half of the FY2028-29 read amounts to the engine's closing cash (Cash and funding G29); the governance-layer column uses the monthly overlay (Govern overlay M29).</t>
  </si>
  <si>
    <t xml:space="preserve">Live switches: Assumptions B120 (governance layer), B130 (reads metered), B134 (reads runtime cost) — all OFF in the base case. The founder has not decided read pricing. The code audit (commit 22388ad) confirms a signed receipt for every governed call, reads included; the per-read cost is still unmeasured.</t>
  </si>
  <si>
    <t xml:space="preserve">Govern overlay — Elan1 Govern increments behind three switches</t>
  </si>
  <si>
    <t xml:space="preserve">Monthly governance-layer line (54 months, with channel contra and 55-day DSO), and reads at financial-year grain. Every amount is computed as if switched on; only the 'switched' rows at the foot apply the switches on Assumptions B120, B130 and B134.</t>
  </si>
  <si>
    <t xml:space="preserve">Rs crore unless stated. All drivers are MODELLED except the engine's own tenant ramp, channel share, cost per governed action and volumes, which are read from Assumptions and Unit economics.</t>
  </si>
  <si>
    <t xml:space="preserve">GOVERNANCE LAYER BY MONTH — as if switched on</t>
  </si>
  <si>
    <t xml:space="preserve">Financial year</t>
  </si>
  <si>
    <t xml:space="preserve">Attach</t>
  </si>
  <si>
    <t xml:space="preserve">Price index</t>
  </si>
  <si>
    <t xml:space="preserve">Gross line revenue</t>
  </si>
  <si>
    <t xml:space="preserve">Channel contra</t>
  </si>
  <si>
    <t xml:space="preserve">Net revenue</t>
  </si>
  <si>
    <t xml:space="preserve">EBITDA delta</t>
  </si>
  <si>
    <t xml:space="preserve">Receivables</t>
  </si>
  <si>
    <t xml:space="preserve">WC movement</t>
  </si>
  <si>
    <t xml:space="preserve">Cash delta, cumulative</t>
  </si>
  <si>
    <t xml:space="preserve">Receivables use the engine's 55-day DSO (Assumptions B104) on a 30.4-day month; a build in receivables is a cash outflow, as on 'Cash and funding'.</t>
  </si>
  <si>
    <t xml:space="preserve">Governance layer — as if switched on</t>
  </si>
  <si>
    <t xml:space="preserve">Revenue, net of channel contra</t>
  </si>
  <si>
    <t xml:space="preserve">Cash delta at year end (after working capital)</t>
  </si>
  <si>
    <t xml:space="preserve">Exit ARR delta at year end</t>
  </si>
  <si>
    <t xml:space="preserve">Reads — unit amounts (read : write ratio × cost or price = 1)</t>
  </si>
  <si>
    <t xml:space="preserve">Governed actions, total (millions)</t>
  </si>
  <si>
    <t xml:space="preserve">Governed actions, external (millions)</t>
  </si>
  <si>
    <t xml:space="preserve">Average cost per governed action (Rs)</t>
  </si>
  <si>
    <t xml:space="preserve">Runtime cost if every governed action brings one read at full write cost</t>
  </si>
  <si>
    <t xml:space="preserve">Revenue if every external governed action brings one billed read at Rs 1</t>
  </si>
  <si>
    <t xml:space="preserve">Reads — at the Assumptions drivers, as if switched on</t>
  </si>
  <si>
    <t xml:space="preserve">Read checks (millions)</t>
  </si>
  <si>
    <t xml:space="preserve">Read runtime cost</t>
  </si>
  <si>
    <t xml:space="preserve">Billed reads (millions)</t>
  </si>
  <si>
    <t xml:space="preserve">Read revenue</t>
  </si>
  <si>
    <t xml:space="preserve">SWITCHED OVERLAY — what flows to Summary P&amp;L rows 41 to 48</t>
  </si>
  <si>
    <t xml:space="preserve">Governance layer switch (Assumptions B120)</t>
  </si>
  <si>
    <t xml:space="preserve">Reads metered switch (Assumptions B130)</t>
  </si>
  <si>
    <t xml:space="preserve">Reads runtime-cost switch (Assumptions B134)</t>
  </si>
  <si>
    <t xml:space="preserve">Cash delta at year end</t>
  </si>
  <si>
    <t xml:space="preserve">Reads are indicative: financial-year grain, no working-capital timing, no channel contra or escalation on read revenue, and the engine's included-action allowances are not reproduced. Exit ARR includes the governance layer only. Billing reads implies governing them, so a real read-billing case turns on both B130 and B134.</t>
  </si>
  <si>
    <t xml:space="preserve">Gate calendar — the dated spine of the plan</t>
  </si>
  <si>
    <t xml:space="preserve">Every date that turns on a revenue line, releases a tranche or opens an assurance level, with the financial consequence attached to it.</t>
  </si>
  <si>
    <t xml:space="preserve">Dates are month of occurrence. Amounts in Rs crore. Gates are tested on evidence, not on forecast.</t>
  </si>
  <si>
    <t xml:space="preserve">Date</t>
  </si>
  <si>
    <t xml:space="preserve">Financial consequence</t>
  </si>
  <si>
    <t xml:space="preserve">Amount / effect</t>
  </si>
  <si>
    <t xml:space="preserve">Elan1 Govern build status, 27 Oct 2026 (code audit at commit 22388ad; see 'Govern build status')</t>
  </si>
  <si>
    <t xml:space="preserve">March 2027</t>
  </si>
  <si>
    <t xml:space="preserve">Series A close — tranche 1</t>
  </si>
  <si>
    <t xml:space="preserve">Releases the first tranche and takes cash from the Rs 4.4 crore February trough to Rs 66.4 crore</t>
  </si>
  <si>
    <t xml:space="preserve">Rs 63.0 cr in</t>
  </si>
  <si>
    <t xml:space="preserve">No change. Funding event; tranche 1 is released at close, not against build status.</t>
  </si>
  <si>
    <t xml:space="preserve">Q2 CY2027</t>
  </si>
  <si>
    <t xml:space="preserve">L1 Guarded general availability</t>
  </si>
  <si>
    <t xml:space="preserve">Opens external platform licence and governed-action billing; until now revenue is the internal rung1 transfer only</t>
  </si>
  <si>
    <t xml:space="preserve">Revenue line on</t>
  </si>
  <si>
    <t xml:space="preserve">Built (code audit, commit 22388ad): allow / ask a person / refuse with default refuse; signed rulebooks; Ed25519 + SHA-256 hash-chained receipts for every governed call, reads included; hourly signed checkpoints; offline 'govern verify'; approvals; MCP, REST and SDK (enforcement on the MCP path; REST and SDK are advisory). Not built: metering and billing, assurance levels L1 to L3. Date unchanged: GA is a readiness test, not a code test.</t>
  </si>
  <si>
    <t xml:space="preserve">July 2027</t>
  </si>
  <si>
    <t xml:space="preserve">First external paying tenant</t>
  </si>
  <si>
    <t xml:space="preserve">Starts the external tenant ramp: 3 tenants in July 2027 to 39 by March 2028</t>
  </si>
  <si>
    <t xml:space="preserve">First external Rs</t>
  </si>
  <si>
    <t xml:space="preserve">No change. The repo shows no customer, pilot or production deployment; all data is demo or seed data.</t>
  </si>
  <si>
    <t xml:space="preserve">October 2027</t>
  </si>
  <si>
    <t xml:space="preserve">First regulatory pack live (ledger1)</t>
  </si>
  <si>
    <t xml:space="preserve">Turns on the pack line; pack attach begins at 0.22 per tenant and reaches 1.32 by March 2031</t>
  </si>
  <si>
    <t xml:space="preserve">Pack line on</t>
  </si>
  <si>
    <t xml:space="preserve">Built: 10 framework libraries, 13 controls and 7 industry packs, all marked 'Draft — needs legal review'. ledger1 in production with a named statutory auditor is not evidenced. Date unchanged.</t>
  </si>
  <si>
    <t xml:space="preserve">April 2028</t>
  </si>
  <si>
    <t xml:space="preserve">L2 Attested general availability</t>
  </si>
  <si>
    <t xml:space="preserve">Opens the Rs 6.0 lakh platform floor and the 1.5 million included actions; L2 mix ramps to 28% of tenants by March 2030</t>
  </si>
  <si>
    <t xml:space="preserve">Price step up</t>
  </si>
  <si>
    <t xml:space="preserve">Not built: Seal Spec v6, a second independent implementation and test vectors, RFC 3161 timestamp anchoring, KMS/HSM key custody. Date unchanged.</t>
  </si>
  <si>
    <t xml:space="preserve">Second regulatory pack live (invoice1)</t>
  </si>
  <si>
    <t xml:space="preserve">Lifts pack attach from 0.40 toward 0.62 per tenant</t>
  </si>
  <si>
    <t xml:space="preserve">Pack attach up</t>
  </si>
  <si>
    <t xml:space="preserve">As for row 9: framework library built; invoice1 production not evidenced. Date unchanged.</t>
  </si>
  <si>
    <t xml:space="preserve">October 2028</t>
  </si>
  <si>
    <t xml:space="preserve">Third regulatory pack live (collect1)</t>
  </si>
  <si>
    <t xml:space="preserve">Completes the funded pack programme; pack attach 0.62 per tenant</t>
  </si>
  <si>
    <t xml:space="preserve">As for row 9: collect1 production not evidenced. Date unchanged.</t>
  </si>
  <si>
    <t xml:space="preserve">Tranche 2 gate (Gate A)</t>
  </si>
  <si>
    <t xml:space="preserve">Releases tranche 2 on evidence of L2 general availability, the pack programme and the tenant ramp</t>
  </si>
  <si>
    <t xml:space="preserve">Rs 72.0 cr in</t>
  </si>
  <si>
    <t xml:space="preserve">No change. Gate A conditions are evidence tests; MODELLED thresholds unchanged (engine base).</t>
  </si>
  <si>
    <t xml:space="preserve">July 2029</t>
  </si>
  <si>
    <t xml:space="preserve">Tranche 3 gate (Gate B)</t>
  </si>
  <si>
    <t xml:space="preserve">Releases tranche 3 on evidence of L3 entry readiness, sovereign pipeline and unit economics</t>
  </si>
  <si>
    <t xml:space="preserve">Rs 45.0 cr in</t>
  </si>
  <si>
    <t xml:space="preserve">No change. Gate B conditions are evidence tests; MODELLED thresholds unchanged (engine base).</t>
  </si>
  <si>
    <t xml:space="preserve">First sovereign deployment</t>
  </si>
  <si>
    <t xml:space="preserve">Opens the Rs 1.2 crore per-year sovereign line; 4 deployments by March 2030, 11 by March 2031</t>
  </si>
  <si>
    <t xml:space="preserve">Rs 2.5 cr in FY30</t>
  </si>
  <si>
    <t xml:space="preserve">Not built: data residency; no deployment configuration beyond Dockerfile and docker-compose. Date unchanged.</t>
  </si>
  <si>
    <t xml:space="preserve">October 2029</t>
  </si>
  <si>
    <t xml:space="preserve">L3 Proven entry</t>
  </si>
  <si>
    <t xml:space="preserve">Opens the Rs 24.0 lakh platform floor and the 4.2 million included actions; L3 reaches 55 tenants by March 2031</t>
  </si>
  <si>
    <t xml:space="preserve">Not built: assurance levels L1 to L3, verifier profiles, selective disclosure. Date unchanged.</t>
  </si>
  <si>
    <t xml:space="preserve">April 2029</t>
  </si>
  <si>
    <t xml:space="preserve">Price escalation begins</t>
  </si>
  <si>
    <t xml:space="preserve">List prices flat to March 2029, then escalate 4% per annum</t>
  </si>
  <si>
    <t xml:space="preserve">4% p.a.</t>
  </si>
  <si>
    <t xml:space="preserve">No change.</t>
  </si>
  <si>
    <t xml:space="preserve">March 2031</t>
  </si>
  <si>
    <t xml:space="preserve">End of plan</t>
  </si>
  <si>
    <t xml:space="preserve">Exit ARR Rs 334.2 crore, closing cash Rs 30.4 crore, 545 paying tenants, 305 people</t>
  </si>
  <si>
    <t xml:space="preserve">Plan close</t>
  </si>
  <si>
    <t xml:space="preserve">27 October 2026 (added)</t>
  </si>
  <si>
    <t xml:space="preserve">Product renamed Elan1 Govern; working code (audited at commit 22388ad) governs every agent tool call, reads and writes, via MCP, REST and SDK</t>
  </si>
  <si>
    <t xml:space="preserve">No revenue date, price or tranche changes. Build status recorded on 'Govern build status'; new lines sit behind switches on Assumptions B120, B130 and B134, all OFF</t>
  </si>
  <si>
    <t xml:space="preserve">None</t>
  </si>
  <si>
    <t xml:space="preserve">See 'Govern build status' for the audited capability list.</t>
  </si>
  <si>
    <t xml:space="preserve">WHAT A GATE TESTS</t>
  </si>
  <si>
    <t xml:space="preserve">Gates are tested on shipped evidence — a general availability declaration, an audited pack, a signed tenant, a measured unit cost —</t>
  </si>
  <si>
    <t xml:space="preserve">and never on a forecast. A missed gate defers the tranche; it does not resize it.</t>
  </si>
  <si>
    <t xml:space="preserve">The Rs 8.0 crore founder and angel bridge lands in October 2026 and is not part of the Rs 180.0 crore Series A.</t>
  </si>
  <si>
    <t xml:space="preserve">Govern build status — what the Elan1 Govern code does today</t>
  </si>
  <si>
    <t xml:space="preserve">Capability by capability: status, evidence, and what it means for the financial model. Nothing on this sheet changes a number in the engine.</t>
  </si>
  <si>
    <t xml:space="preserve">Filled from the code audit work/facts/govern-facts.md (27 October 2026) at commit 22388ad. Nothing on this sheet changes a number in the engine; the financial consequence column says where the model is affected.</t>
  </si>
  <si>
    <t xml:space="preserve">Audit source</t>
  </si>
  <si>
    <t xml:space="preserve">work/facts/govern-facts.md, audit date 27 October 2026</t>
  </si>
  <si>
    <t xml:space="preserve">Repository</t>
  </si>
  <si>
    <t xml:space="preserve">https://github.com/Hasif-Elan1/elan1-govern (full history; not shallow)</t>
  </si>
  <si>
    <t xml:space="preserve">Audited commit</t>
  </si>
  <si>
    <t xml:space="preserve">22388ad85fc082369f28ce51968efa4b5337ec91, 2026-10-27T10:10:47+05:30</t>
  </si>
  <si>
    <t xml:space="preserve">Commit history</t>
  </si>
  <si>
    <t xml:space="preserve">47 commits (9 merges), first 2026-10-26T18:39:08+05:30, last 2026-10-27T10:10:47+05:30: about 15.5 hours. One identity: elan1 &lt;hello@elan1.ai&gt;</t>
  </si>
  <si>
    <t xml:space="preserve">Code size</t>
  </si>
  <si>
    <t xml:space="preserve">About 33,567 lines of code (TypeScript, Python, Prisma, SQL); 400 tracked files</t>
  </si>
  <si>
    <t xml:space="preserve">Test results (as reported)</t>
  </si>
  <si>
    <t xml:space="preserve">pnpm test (Vitest, 25 s): 397 passed, 1 failed, 398 collected. 41 test files: 21 passed, 20 failed. 19 of the 20 failed files (in db, gate and web) collected 0 tests, with "@prisma/client did not initialize yet. Please run prisma generate" (Prisma engine download blocked by the sandbox network, not a code fault). The one failed test, apps/gate/test/env.test.ts › refuses the .env.example secrets in production, failed because no .env file exists; with the .env.example values exported it passes (3/3). Per project: core 245/245, cli 6/6, sdk 8/8, connectors 18/18, web 118/118 (3 of 9 files), gate env 3/3. Python SDK: 40 tests OK.</t>
  </si>
  <si>
    <t xml:space="preserve">Not run</t>
  </si>
  <si>
    <t xml:space="preserve">DB-backed integration tests (db, most of gate, 6 web files), Playwright e2e, coverage, lint and typecheck. GUIDE.md's claim of 580 + 40 + 23 tests is unverified.</t>
  </si>
  <si>
    <t xml:space="preserve">CI and security</t>
  </si>
  <si>
    <t xml:space="preserve">CI status unknown (gh returned 403). pnpm audit --audit-level high: "No known vulnerabilities found". semgrep, gitleaks, ZAP not run by the audit.</t>
  </si>
  <si>
    <t xml:space="preserve">Capability</t>
  </si>
  <si>
    <t xml:space="preserve">Model / IM item it maps to</t>
  </si>
  <si>
    <t xml:space="preserve">Status</t>
  </si>
  <si>
    <t xml:space="preserve">Evidence</t>
  </si>
  <si>
    <t xml:space="preserve">Audited?</t>
  </si>
  <si>
    <t xml:space="preserve">Financial consequence in the model</t>
  </si>
  <si>
    <t xml:space="preserve">Guard: allow / ask a person / refuse; default refuse; strictest rule wins</t>
  </si>
  <si>
    <t xml:space="preserve">L1 Guarded gate check (Gate calendar row 7)</t>
  </si>
  <si>
    <t xml:space="preserve">BUILT</t>
  </si>
  <si>
    <t xml:space="preserve">packages/core/src/rulebook.ts; packages/core/src/engine.ts; apps/gate/src/guard.ts</t>
  </si>
  <si>
    <t xml:space="preserve">VERIFIED</t>
  </si>
  <si>
    <t xml:space="preserve">None: L1 GA date and tenant ramp unchanged (GA is a readiness test)</t>
  </si>
  <si>
    <t xml:space="preserve">Fail closed when Govern itself fails</t>
  </si>
  <si>
    <t xml:space="preserve">Kernel refuses on error</t>
  </si>
  <si>
    <t xml:space="preserve">BUILT (PARTIAL)</t>
  </si>
  <si>
    <t xml:space="preserve">apps/gate/src/guard.ts (gate-error refusal receipt); DECISIONS #15; SECURITY.md Known limits</t>
  </si>
  <si>
    <t xml:space="preserve">PARTIAL: in MCP execute mode an allowed action runs before its receipt is written</t>
  </si>
  <si>
    <t xml:space="preserve">Agent access by MCP, REST API, TypeScript and Python SDK</t>
  </si>
  <si>
    <t xml:space="preserve">Integration surface</t>
  </si>
  <si>
    <t xml:space="preserve">apps/gate/src/mcp.ts; apps/gate/src/routes/agent-api.ts; packages/sdk; packages/sdk-python</t>
  </si>
  <si>
    <t xml:space="preserve">VERIFIED: enforcement only on the MCP path; REST/SDK path is advisory</t>
  </si>
  <si>
    <t xml:space="preserve">Signed hash-chained receipt for every governed call, reads included (Ed25519 + SHA-256)</t>
  </si>
  <si>
    <t xml:space="preserve">Proof record; runtime cost per governed action</t>
  </si>
  <si>
    <t xml:space="preserve">packages/core/src/receipt.ts; packages/core/src/crypto.ts; packages/db/src/chain.ts; single decision path in apps/gate/src/guard.ts (no write-specific door)</t>
  </si>
  <si>
    <t xml:space="preserve">Reads also incur receipt cost: reads runtime-cost sensitivity kept (Assumptions B134, OFF; Scenarios rows 45-62). Per-read cost unmeasured</t>
  </si>
  <si>
    <t xml:space="preserve">Hourly signed checkpoints</t>
  </si>
  <si>
    <t xml:space="preserve">Chain standing</t>
  </si>
  <si>
    <t xml:space="preserve">apps/gate/src/jobs.ts (cron 0 * * * *); packages/db/src/chain.ts</t>
  </si>
  <si>
    <t xml:space="preserve">VERIFIED: self-signed by the org key, no external timestamp</t>
  </si>
  <si>
    <t xml:space="preserve">Offline verifier 'govern verify'</t>
  </si>
  <si>
    <t xml:space="preserve">Offline verifier, priced Rs 0 (IM Appendix A.3)</t>
  </si>
  <si>
    <t xml:space="preserve">packages/cli/src/cli.ts; packages/core/src/bundle.ts</t>
  </si>
  <si>
    <t xml:space="preserve">PARTIAL: trusts the key inside the bundle unless --key or a fingerprint check is used; 3 exit codes (0, 1, 2), not 6</t>
  </si>
  <si>
    <t xml:space="preserve">None: stays free</t>
  </si>
  <si>
    <t xml:space="preserve">Rulebooks: rule builder with YAML, risk tags, quotas, try an action, test on past actions, versions, sign and publish, rule suggestions</t>
  </si>
  <si>
    <t xml:space="preserve">Declaration / Studio</t>
  </si>
  <si>
    <t xml:space="preserve">packages/core/src/rulebook.ts; rulebook-sign.ts; apps/gate/src/replay.ts; packages/core/src/suggest.ts</t>
  </si>
  <si>
    <t xml:space="preserve">VERIFIED: quotas checked outside the chain lock (SECURITY.md)</t>
  </si>
  <si>
    <t xml:space="preserve">Approvals: web, signed single-use email/phone links, Slack and WhatsApp; expiry refuses</t>
  </si>
  <si>
    <t xml:space="preserve">Human approval (ask a person)</t>
  </si>
  <si>
    <t xml:space="preserve">apps/gate/src/approvals.ts; packages/core/src/chat.ts; apps/web/src/server/session.ts</t>
  </si>
  <si>
    <t xml:space="preserve">PARTIAL: password asked only if sign-in is more than 10 minutes old</t>
  </si>
  <si>
    <t xml:space="preserve">Connectors: Gmail, Zoho Books, any MCP server behind Govern, SSRF guard</t>
  </si>
  <si>
    <t xml:space="preserve">Connected systems; IM plan is ERPNext-first</t>
  </si>
  <si>
    <t xml:space="preserve">packages/connectors/src/index.ts; apps/gate/src/upstream.ts; apps/gate/src/upstream-net.ts</t>
  </si>
  <si>
    <t xml:space="preserve">VERIFIED: live Gmail/Zoho never run against real accounts; no ERPNext connector</t>
  </si>
  <si>
    <t xml:space="preserve">None; ERPNext design-partner gates escalated</t>
  </si>
  <si>
    <t xml:space="preserve">Evidence: auditor pack (bundle + PDF) and compliance map</t>
  </si>
  <si>
    <t xml:space="preserve">Evidence SKU (bundle Rs 2,500, Assumptions B20)</t>
  </si>
  <si>
    <t xml:space="preserve">apps/gate/src/evidence.ts; packages/core/src/bundle.ts</t>
  </si>
  <si>
    <t xml:space="preserve">None: evidence line unchanged</t>
  </si>
  <si>
    <t xml:space="preserve">AI inventory</t>
  </si>
  <si>
    <t xml:space="preserve">Governance layer (new line)</t>
  </si>
  <si>
    <t xml:space="preserve">packages/core/src/inventory.ts; apps/web/src/server/inventory.ts</t>
  </si>
  <si>
    <t xml:space="preserve">PARTIAL: no model field; risk tier and review date come only from approved assessments</t>
  </si>
  <si>
    <t xml:space="preserve">Governance-layer line behind Assumptions B120 (OFF)</t>
  </si>
  <si>
    <t xml:space="preserve">Assessments: 3 templates, explained scores, separate sign-off, review dates</t>
  </si>
  <si>
    <t xml:space="preserve">packages/core/src/assessments.ts</t>
  </si>
  <si>
    <t xml:space="preserve">Compliance: 10 frameworks, 13 controls, framework PDF; 7 industry packs</t>
  </si>
  <si>
    <t xml:space="preserve">Governance layer; overlaps Regulatory packs (Assumptions B19)</t>
  </si>
  <si>
    <t xml:space="preserve">packages/core/src/frameworks/frameworks.ts; controls.ts; packs.ts</t>
  </si>
  <si>
    <t xml:space="preserve">VERIFIED: all marked 'Draft — needs legal review'; coverage counts receipts, it does not test controls</t>
  </si>
  <si>
    <t xml:space="preserve">Governance-layer line (OFF); regulatory-pack line unchanged</t>
  </si>
  <si>
    <t xml:space="preserve">Alerts (6 detectors), auto-pause, emergency stop with incident report</t>
  </si>
  <si>
    <t xml:space="preserve">Stop switch</t>
  </si>
  <si>
    <t xml:space="preserve">packages/core/src/behaviour.ts; apps/gate/src/behaviour.ts; apps/gate/src/incidents.ts; apps/web/src/app/api/emergency-stop/route.ts</t>
  </si>
  <si>
    <t xml:space="preserve">PARTIAL: auto-pause off by default and only on high severity</t>
  </si>
  <si>
    <t xml:space="preserve">Sign-in (argon2id), TOTP, lockout, OIDC SSO, 5 roles, signed webhooks, signing-key rotation</t>
  </si>
  <si>
    <t xml:space="preserve">Enterprise readiness</t>
  </si>
  <si>
    <t xml:space="preserve">apps/web/src/server/auth.ts; sso.ts; policy.ts; apps/gate/src/webhooks.ts; apps/gate/src/keys.ts</t>
  </si>
  <si>
    <t xml:space="preserve">VERIFIED: OIDC only; SAML and SCIM not built</t>
  </si>
  <si>
    <t xml:space="preserve">Onboarding with industry and regions</t>
  </si>
  <si>
    <t xml:space="preserve">Multi-industry onboarding</t>
  </si>
  <si>
    <t xml:space="preserve">apps/web/src/app/(auth)/onboarding/page.tsx; (auth)/forms.tsx</t>
  </si>
  <si>
    <t xml:space="preserve">PARTIAL: no currency or time-zone inputs</t>
  </si>
  <si>
    <t xml:space="preserve">Tenant isolation</t>
  </si>
  <si>
    <t xml:space="preserve">Tenancy</t>
  </si>
  <si>
    <t xml:space="preserve">packages/db/src/tenant.ts; packages/db/test/isolation.test.ts</t>
  </si>
  <si>
    <t xml:space="preserve">VERIFIED: application-level, no Postgres row-level security</t>
  </si>
  <si>
    <t xml:space="preserve">Metering, billing, plans, invoices</t>
  </si>
  <si>
    <t xml:space="preserve">Meter from Jan 2027; every revenue line must be invoiced</t>
  </si>
  <si>
    <t xml:space="preserve">NOT BUILT</t>
  </si>
  <si>
    <t xml:space="preserve">Audit §4 and §8: no meter, plan or invoice code</t>
  </si>
  <si>
    <t xml:space="preserve">ABSENT</t>
  </si>
  <si>
    <t xml:space="preserve">No number changed. Internal rung1 revenue from Jan 2027 (Assumptions H32) and the 31 Jan 2027 'meter reconciles' gate depend on it</t>
  </si>
  <si>
    <t xml:space="preserve">Assurance levels L1–L3</t>
  </si>
  <si>
    <t xml:space="preserve">L2 Attested Apr 2028; L3 Proven Oct 2029; platform floors</t>
  </si>
  <si>
    <t xml:space="preserve">Audit §4</t>
  </si>
  <si>
    <t xml:space="preserve">None: dates unchanged (engine)</t>
  </si>
  <si>
    <t xml:space="preserve">Anchoring: RFC 3161 at two timestamp authorities</t>
  </si>
  <si>
    <t xml:space="preserve">Timestamp anchoring COGS from FY2028-29; L2 condition</t>
  </si>
  <si>
    <t xml:space="preserve">None: cost line stays</t>
  </si>
  <si>
    <t xml:space="preserve">Verifier profiles</t>
  </si>
  <si>
    <t xml:space="preserve">Verifier profile revenue (Assumptions B21)</t>
  </si>
  <si>
    <t xml:space="preserve">None: revenue stays as modelled</t>
  </si>
  <si>
    <t xml:space="preserve">Seal Spec v6: second independent implementation and test vectors</t>
  </si>
  <si>
    <t xml:space="preserve">Gate A condition 1</t>
  </si>
  <si>
    <t xml:space="preserve">Audit §4: one TypeScript implementation; no test-vector files</t>
  </si>
  <si>
    <t xml:space="preserve">Key custody: KMS / HSM</t>
  </si>
  <si>
    <t xml:space="preserve">Key custody gate (Aug 2027)</t>
  </si>
  <si>
    <t xml:space="preserve">NOT BUILT (interface only)</t>
  </si>
  <si>
    <t xml:space="preserve">apps/gate/src/keys.ts: KeyProvider with the env provider only</t>
  </si>
  <si>
    <t xml:space="preserve">Erasure requests</t>
  </si>
  <si>
    <t xml:space="preserve">DPDP erasure</t>
  </si>
  <si>
    <t xml:space="preserve">Data residency</t>
  </si>
  <si>
    <t xml:space="preserve">Residency domains; sovereign deployments</t>
  </si>
  <si>
    <t xml:space="preserve">Audit §4: Org.regions selects frameworks only</t>
  </si>
  <si>
    <t xml:space="preserve">Idempotency keys</t>
  </si>
  <si>
    <t xml:space="preserve">Action path</t>
  </si>
  <si>
    <t xml:space="preserve">Selective disclosure, earned autonomy, in-process enforcement mode, closed refusal-code register</t>
  </si>
  <si>
    <t xml:space="preserve">L3 and kernel specification</t>
  </si>
  <si>
    <t xml:space="preserve">Audit §4 and §8</t>
  </si>
  <si>
    <t xml:space="preserve">Production deployment, customers, usage telemetry, certification</t>
  </si>
  <si>
    <t xml:space="preserve">Tenant ramp; certification and audit opex</t>
  </si>
  <si>
    <t xml:space="preserve">Audit §8: all data is seed or demo (Demo Traders Pvt Ltd)</t>
  </si>
  <si>
    <t xml:space="preserve">None: tenant ramp unchanged</t>
  </si>
  <si>
    <t xml:space="preserve">Status: BUILT = the audit verified the code does what the brief says; BUILT (PARTIAL) = code exists but differs in a way that matters; NOT BUILT = specification item absent from the code.</t>
  </si>
  <si>
    <t xml:space="preserve">Every governed call, reads included, passes through one decision path and writes a signed receipt. The engine's cost per governed action covers writes only, so the reads runtime-cost sensitivity is kept on Scenarios rows 45 to 62 (switch Assumptions B134, OFF). Per-read cost is still unmeasured.</t>
  </si>
  <si>
    <t xml:space="preserve">Open questions from the audit for the founder: who wrote and reviewed the code; whether CI is green; whether any real account or customer has been run through it; code licence and IP ownership (no LICENSE file).</t>
  </si>
  <si>
    <t xml:space="preserve">Revision log — revised edition, 27 October 2026</t>
  </si>
  <si>
    <t xml:space="preserve">In the original pages, 'elan1' meaning the product or kernel should be read as Elan1 Govern; 'elan1 Private Limited' remains the entity. Engine outputs (every hardcoded figure from the 22 September 2026 engine run) are unchanged.</t>
  </si>
  <si>
    <t xml:space="preserve">Provenance: LABEL = naming or explanatory text only; FACT-BRIEF = stated in the 27 Oct 2026 brief; FACT-AUDIT = from the code audit; MODELLED = new commercial assumption with no customer evidence; ENGINE = an existing engine driver restated; FOUND = pre-existing issue, not changed.</t>
  </si>
  <si>
    <t xml:space="preserve">No.</t>
  </si>
  <si>
    <t xml:space="preserve">Cell(s)</t>
  </si>
  <si>
    <t xml:space="preserve">Old value</t>
  </si>
  <si>
    <t xml:space="preserve">New value</t>
  </si>
  <si>
    <t xml:space="preserve">Reason</t>
  </si>
  <si>
    <t xml:space="preserve">Effect on headline outputs</t>
  </si>
  <si>
    <t xml:space="preserve">Reversal</t>
  </si>
  <si>
    <t xml:space="preserve">2026-10-27</t>
  </si>
  <si>
    <t xml:space="preserve">Cover</t>
  </si>
  <si>
    <t xml:space="preserve">B3</t>
  </si>
  <si>
    <t xml:space="preserve">elan1 · Series A Financial Model</t>
  </si>
  <si>
    <t xml:space="preserve">Founder update 27 Oct 2026: product renamed Elan1 Govern; workbook title carries the new name</t>
  </si>
  <si>
    <t xml:space="preserve">LABEL</t>
  </si>
  <si>
    <t xml:space="preserve">Restore old value</t>
  </si>
  <si>
    <t xml:space="preserve">B5</t>
  </si>
  <si>
    <t xml:space="preserve">Governed Intelligence Platform · October 2026 to March 2031</t>
  </si>
  <si>
    <t xml:space="preserve">Tagline for Elan1 Govern as instructed (coordinator decision 2); describes the built product in the brief</t>
  </si>
  <si>
    <t xml:space="preserve">B7</t>
  </si>
  <si>
    <t xml:space="preserve">Prepared for Series A investors  ·  22 September 2026  ·  Strictly confidential</t>
  </si>
  <si>
    <t xml:space="preserve">Revised edition date; plan period moved here from the old B5 tagline so it is not lost</t>
  </si>
  <si>
    <t xml:space="preserve">B9</t>
  </si>
  <si>
    <t xml:space="preserve">(empty)</t>
  </si>
  <si>
    <t xml:space="preserve">Cover note required by coordinator decision 2</t>
  </si>
  <si>
    <t xml:space="preserve">Clear cell</t>
  </si>
  <si>
    <t xml:space="preserve">B49</t>
  </si>
  <si>
    <t xml:space="preserve">Required read-across sentence (brief UPDATE 27 Oct 2026); entity confirmed unchanged by founder</t>
  </si>
  <si>
    <t xml:space="preserve">B51</t>
  </si>
  <si>
    <t xml:space="preserve">Tab index for the new sheets</t>
  </si>
  <si>
    <t xml:space="preserve">C51</t>
  </si>
  <si>
    <t xml:space="preserve">B52</t>
  </si>
  <si>
    <t xml:space="preserve">C52</t>
  </si>
  <si>
    <t xml:space="preserve">B53</t>
  </si>
  <si>
    <t xml:space="preserve">C53</t>
  </si>
  <si>
    <t xml:space="preserve">B54</t>
  </si>
  <si>
    <t xml:space="preserve">C54</t>
  </si>
  <si>
    <t xml:space="preserve">A31</t>
  </si>
  <si>
    <t xml:space="preserve">elan1 — internal transfer price to rung1</t>
  </si>
  <si>
    <t xml:space="preserve">Product renamed Elan1 Govern (brief UPDATE); these anchors describe the product, not the entity</t>
  </si>
  <si>
    <t xml:space="preserve">A32</t>
  </si>
  <si>
    <t xml:space="preserve">elan1 — L1 Guarded, beyond allowance</t>
  </si>
  <si>
    <t xml:space="preserve">A33</t>
  </si>
  <si>
    <t xml:space="preserve">elan1 — L2 Attested, beyond allowance</t>
  </si>
  <si>
    <t xml:space="preserve">A34</t>
  </si>
  <si>
    <t xml:space="preserve">elan1 — L3 Proven, beyond allowance</t>
  </si>
  <si>
    <t xml:space="preserve">A35</t>
  </si>
  <si>
    <t xml:space="preserve">elan1 — sovereign deployment</t>
  </si>
  <si>
    <t xml:space="preserve">A37</t>
  </si>
  <si>
    <t xml:space="preserve">elan1 blended realised rate, FY2030-31</t>
  </si>
  <si>
    <t xml:space="preserve">A39</t>
  </si>
  <si>
    <t xml:space="preserve">elan1 prices governed actions, not seats. Refusals are metered at quantity zero and are never billed, so the buyer pays only for actions that were allowed to complete.</t>
  </si>
  <si>
    <t xml:space="preserve">A118</t>
  </si>
  <si>
    <t xml:space="preserve">Home for new Elan1 Govern drivers; base engine untouched</t>
  </si>
  <si>
    <t xml:space="preserve">A119</t>
  </si>
  <si>
    <t xml:space="preserve">Header for the new driver block</t>
  </si>
  <si>
    <t xml:space="preserve">B119</t>
  </si>
  <si>
    <t xml:space="preserve">C119</t>
  </si>
  <si>
    <t xml:space="preserve">D119</t>
  </si>
  <si>
    <t xml:space="preserve">E119</t>
  </si>
  <si>
    <t xml:space="preserve">A120</t>
  </si>
  <si>
    <t xml:space="preserve">Brief: built governance layer 'similar to Credo AI' (AI inventory, assessments, 10 frameworks); no revenue line existed</t>
  </si>
  <si>
    <t xml:space="preserve">B120</t>
  </si>
  <si>
    <t xml:space="preserve">None while the switches are OFF</t>
  </si>
  <si>
    <t xml:space="preserve">C120</t>
  </si>
  <si>
    <t xml:space="preserve">D120</t>
  </si>
  <si>
    <t xml:space="preserve">E120</t>
  </si>
  <si>
    <t xml:space="preserve">A121</t>
  </si>
  <si>
    <t xml:space="preserve">Conservative sizing of the new governance-layer line; no customer has been quoted it</t>
  </si>
  <si>
    <t xml:space="preserve">B121</t>
  </si>
  <si>
    <t xml:space="preserve">C121</t>
  </si>
  <si>
    <t xml:space="preserve">D121</t>
  </si>
  <si>
    <t xml:space="preserve">E121</t>
  </si>
  <si>
    <t xml:space="preserve">A122</t>
  </si>
  <si>
    <t xml:space="preserve">Attach ramp for the new line</t>
  </si>
  <si>
    <t xml:space="preserve">B122</t>
  </si>
  <si>
    <t xml:space="preserve">C122</t>
  </si>
  <si>
    <t xml:space="preserve">D122</t>
  </si>
  <si>
    <t xml:space="preserve">E122</t>
  </si>
  <si>
    <t xml:space="preserve">A123</t>
  </si>
  <si>
    <t xml:space="preserve">B123</t>
  </si>
  <si>
    <t xml:space="preserve">C123</t>
  </si>
  <si>
    <t xml:space="preserve">D123</t>
  </si>
  <si>
    <t xml:space="preserve">E123</t>
  </si>
  <si>
    <t xml:space="preserve">A124</t>
  </si>
  <si>
    <t xml:space="preserve">B124</t>
  </si>
  <si>
    <t xml:space="preserve">C124</t>
  </si>
  <si>
    <t xml:space="preserve">D124</t>
  </si>
  <si>
    <t xml:space="preserve">E124</t>
  </si>
  <si>
    <t xml:space="preserve">A125</t>
  </si>
  <si>
    <t xml:space="preserve">B125</t>
  </si>
  <si>
    <t xml:space="preserve">C125</t>
  </si>
  <si>
    <t xml:space="preserve">D125</t>
  </si>
  <si>
    <t xml:space="preserve">E125</t>
  </si>
  <si>
    <t xml:space="preserve">A126</t>
  </si>
  <si>
    <t xml:space="preserve">B126</t>
  </si>
  <si>
    <t xml:space="preserve">C126</t>
  </si>
  <si>
    <t xml:space="preserve">D126</t>
  </si>
  <si>
    <t xml:space="preserve">E126</t>
  </si>
  <si>
    <t xml:space="preserve">A127</t>
  </si>
  <si>
    <t xml:space="preserve">Cost of the new line</t>
  </si>
  <si>
    <t xml:space="preserve">B127</t>
  </si>
  <si>
    <t xml:space="preserve">C127</t>
  </si>
  <si>
    <t xml:space="preserve">D127</t>
  </si>
  <si>
    <t xml:space="preserve">E127</t>
  </si>
  <si>
    <t xml:space="preserve">A128</t>
  </si>
  <si>
    <t xml:space="preserve">Makes an engine driver stated in text (A86) usable by the overlay</t>
  </si>
  <si>
    <t xml:space="preserve">B128</t>
  </si>
  <si>
    <t xml:space="preserve">None (documentation of an engine driver)</t>
  </si>
  <si>
    <t xml:space="preserve">C128</t>
  </si>
  <si>
    <t xml:space="preserve">D128</t>
  </si>
  <si>
    <t xml:space="preserve">E128</t>
  </si>
  <si>
    <t xml:space="preserve">A129</t>
  </si>
  <si>
    <t xml:space="preserve">Makes an engine driver stated in text (A24) usable by the overlay</t>
  </si>
  <si>
    <t xml:space="preserve">B129</t>
  </si>
  <si>
    <t xml:space="preserve">C129</t>
  </si>
  <si>
    <t xml:space="preserve">D129</t>
  </si>
  <si>
    <t xml:space="preserve">E129</t>
  </si>
  <si>
    <t xml:space="preserve">A130</t>
  </si>
  <si>
    <t xml:space="preserve">Brief: Elan1 Govern governs EVERY tool call (reads and writes); read pricing undecided</t>
  </si>
  <si>
    <t xml:space="preserve">B130</t>
  </si>
  <si>
    <t xml:space="preserve">C130</t>
  </si>
  <si>
    <t xml:space="preserve">D130</t>
  </si>
  <si>
    <t xml:space="preserve">E130</t>
  </si>
  <si>
    <t xml:space="preserve">A131</t>
  </si>
  <si>
    <t xml:space="preserve">Reads sensitivity driver</t>
  </si>
  <si>
    <t xml:space="preserve">B131</t>
  </si>
  <si>
    <t xml:space="preserve">C131</t>
  </si>
  <si>
    <t xml:space="preserve">D131</t>
  </si>
  <si>
    <t xml:space="preserve">E131</t>
  </si>
  <si>
    <t xml:space="preserve">A132</t>
  </si>
  <si>
    <t xml:space="preserve">B132</t>
  </si>
  <si>
    <t xml:space="preserve">C132</t>
  </si>
  <si>
    <t xml:space="preserve">D132</t>
  </si>
  <si>
    <t xml:space="preserve">E132</t>
  </si>
  <si>
    <t xml:space="preserve">A133</t>
  </si>
  <si>
    <t xml:space="preserve">B133</t>
  </si>
  <si>
    <t xml:space="preserve">C133</t>
  </si>
  <si>
    <t xml:space="preserve">D133</t>
  </si>
  <si>
    <t xml:space="preserve">E133</t>
  </si>
  <si>
    <t xml:space="preserve">A134</t>
  </si>
  <si>
    <t xml:space="preserve">Code audit 27 Oct 2026: every governed call, reads included, writes a signed hash-chained receipt; per-read cost not yet measured</t>
  </si>
  <si>
    <t xml:space="preserve">B134</t>
  </si>
  <si>
    <t xml:space="preserve">C134</t>
  </si>
  <si>
    <t xml:space="preserve">D134</t>
  </si>
  <si>
    <t xml:space="preserve">E134</t>
  </si>
  <si>
    <t xml:space="preserve">A135</t>
  </si>
  <si>
    <t xml:space="preserve">B135</t>
  </si>
  <si>
    <t xml:space="preserve">C135</t>
  </si>
  <si>
    <t xml:space="preserve">D135</t>
  </si>
  <si>
    <t xml:space="preserve">E135</t>
  </si>
  <si>
    <t xml:space="preserve">A136</t>
  </si>
  <si>
    <t xml:space="preserve">Explains scope of the new drivers</t>
  </si>
  <si>
    <t xml:space="preserve">whole sheet</t>
  </si>
  <si>
    <t xml:space="preserve">(sheet did not exist)</t>
  </si>
  <si>
    <t xml:space="preserve">New sheet: monthly governance-layer line A4:M60; FY block A62:F92</t>
  </si>
  <si>
    <t xml:space="preserve">Transparent overlay: engine outputs are hardcoded, so new drivers cannot flow through the engine</t>
  </si>
  <si>
    <t xml:space="preserve">Zero while all switches are OFF</t>
  </si>
  <si>
    <t xml:space="preserve">Delete the sheet and Summary P&amp;L rows 39-50, Scenarios rows 43-62</t>
  </si>
  <si>
    <t xml:space="preserve">Shows Elan1 Govern switches beside the untouched engine base</t>
  </si>
  <si>
    <t xml:space="preserve">A40</t>
  </si>
  <si>
    <t xml:space="preserve">Header</t>
  </si>
  <si>
    <t xml:space="preserve">B40</t>
  </si>
  <si>
    <t xml:space="preserve">C40</t>
  </si>
  <si>
    <t xml:space="preserve">D40</t>
  </si>
  <si>
    <t xml:space="preserve">E40</t>
  </si>
  <si>
    <t xml:space="preserve">F40</t>
  </si>
  <si>
    <t xml:space="preserve">A41</t>
  </si>
  <si>
    <t xml:space="preserve">Overlay line linked to 'Govern overlay'</t>
  </si>
  <si>
    <t xml:space="preserve">B41</t>
  </si>
  <si>
    <t xml:space="preserve">formula: ='Govern overlay'!B88</t>
  </si>
  <si>
    <t xml:space="preserve">Equals the engine base while switches are OFF</t>
  </si>
  <si>
    <t xml:space="preserve">C41</t>
  </si>
  <si>
    <t xml:space="preserve">formula: ='Govern overlay'!C88</t>
  </si>
  <si>
    <t xml:space="preserve">D41</t>
  </si>
  <si>
    <t xml:space="preserve">formula: ='Govern overlay'!D88</t>
  </si>
  <si>
    <t xml:space="preserve">E41</t>
  </si>
  <si>
    <t xml:space="preserve">formula: ='Govern overlay'!E88</t>
  </si>
  <si>
    <t xml:space="preserve">F41</t>
  </si>
  <si>
    <t xml:space="preserve">formula: ='Govern overlay'!F88</t>
  </si>
  <si>
    <t xml:space="preserve">A42</t>
  </si>
  <si>
    <t xml:space="preserve">B42</t>
  </si>
  <si>
    <t xml:space="preserve">formula: ='Govern overlay'!B89</t>
  </si>
  <si>
    <t xml:space="preserve">C42</t>
  </si>
  <si>
    <t xml:space="preserve">formula: ='Govern overlay'!C89</t>
  </si>
  <si>
    <t xml:space="preserve">D42</t>
  </si>
  <si>
    <t xml:space="preserve">formula: ='Govern overlay'!D89</t>
  </si>
  <si>
    <t xml:space="preserve">E42</t>
  </si>
  <si>
    <t xml:space="preserve">formula: ='Govern overlay'!E89</t>
  </si>
  <si>
    <t xml:space="preserve">F42</t>
  </si>
  <si>
    <t xml:space="preserve">formula: ='Govern overlay'!F89</t>
  </si>
  <si>
    <t xml:space="preserve">A43</t>
  </si>
  <si>
    <t xml:space="preserve">B43</t>
  </si>
  <si>
    <t xml:space="preserve">formula: =B41-B42</t>
  </si>
  <si>
    <t xml:space="preserve">C43</t>
  </si>
  <si>
    <t xml:space="preserve">formula: =C41-C42</t>
  </si>
  <si>
    <t xml:space="preserve">D43</t>
  </si>
  <si>
    <t xml:space="preserve">formula: =D41-D42</t>
  </si>
  <si>
    <t xml:space="preserve">E43</t>
  </si>
  <si>
    <t xml:space="preserve">formula: =E41-E42</t>
  </si>
  <si>
    <t xml:space="preserve">F43</t>
  </si>
  <si>
    <t xml:space="preserve">formula: =F41-F42</t>
  </si>
  <si>
    <t xml:space="preserve">A44</t>
  </si>
  <si>
    <t xml:space="preserve">B44</t>
  </si>
  <si>
    <t xml:space="preserve">formula: =B6+B41</t>
  </si>
  <si>
    <t xml:space="preserve">C44</t>
  </si>
  <si>
    <t xml:space="preserve">formula: =C6+C41</t>
  </si>
  <si>
    <t xml:space="preserve">D44</t>
  </si>
  <si>
    <t xml:space="preserve">formula: =D6+D41</t>
  </si>
  <si>
    <t xml:space="preserve">E44</t>
  </si>
  <si>
    <t xml:space="preserve">formula: =E6+E41</t>
  </si>
  <si>
    <t xml:space="preserve">F44</t>
  </si>
  <si>
    <t xml:space="preserve">formula: =F6+F41</t>
  </si>
  <si>
    <t xml:space="preserve">A45</t>
  </si>
  <si>
    <t xml:space="preserve">B45</t>
  </si>
  <si>
    <t xml:space="preserve">formula: =IF(B44&lt;0.05,"n/m",(B44-B7-B42)/B44)</t>
  </si>
  <si>
    <t xml:space="preserve">C45</t>
  </si>
  <si>
    <t xml:space="preserve">formula: =IF(C44&lt;0.05,"n/m",(C44-C7-C42)/C44)</t>
  </si>
  <si>
    <t xml:space="preserve">D45</t>
  </si>
  <si>
    <t xml:space="preserve">formula: =IF(D44&lt;0.05,"n/m",(D44-D7-D42)/D44)</t>
  </si>
  <si>
    <t xml:space="preserve">E45</t>
  </si>
  <si>
    <t xml:space="preserve">formula: =IF(E44&lt;0.05,"n/m",(E44-E7-E42)/E44)</t>
  </si>
  <si>
    <t xml:space="preserve">F45</t>
  </si>
  <si>
    <t xml:space="preserve">formula: =IF(F44&lt;0.05,"n/m",(F44-F7-F42)/F44)</t>
  </si>
  <si>
    <t xml:space="preserve">A46</t>
  </si>
  <si>
    <t xml:space="preserve">B46</t>
  </si>
  <si>
    <t xml:space="preserve">formula: =B11+B43</t>
  </si>
  <si>
    <t xml:space="preserve">C46</t>
  </si>
  <si>
    <t xml:space="preserve">formula: =C11+C43</t>
  </si>
  <si>
    <t xml:space="preserve">D46</t>
  </si>
  <si>
    <t xml:space="preserve">formula: =D11+D43</t>
  </si>
  <si>
    <t xml:space="preserve">E46</t>
  </si>
  <si>
    <t xml:space="preserve">formula: =E11+E43</t>
  </si>
  <si>
    <t xml:space="preserve">F46</t>
  </si>
  <si>
    <t xml:space="preserve">formula: =F11+F43</t>
  </si>
  <si>
    <t xml:space="preserve">A47</t>
  </si>
  <si>
    <t xml:space="preserve">B47</t>
  </si>
  <si>
    <t xml:space="preserve">formula: =B18+'Govern overlay'!B91</t>
  </si>
  <si>
    <t xml:space="preserve">C47</t>
  </si>
  <si>
    <t xml:space="preserve">formula: =C18+'Govern overlay'!C91</t>
  </si>
  <si>
    <t xml:space="preserve">D47</t>
  </si>
  <si>
    <t xml:space="preserve">formula: =D18+'Govern overlay'!D91</t>
  </si>
  <si>
    <t xml:space="preserve">E47</t>
  </si>
  <si>
    <t xml:space="preserve">formula: =E18+'Govern overlay'!E91</t>
  </si>
  <si>
    <t xml:space="preserve">F47</t>
  </si>
  <si>
    <t xml:space="preserve">formula: =F18+'Govern overlay'!F91</t>
  </si>
  <si>
    <t xml:space="preserve">A48</t>
  </si>
  <si>
    <t xml:space="preserve">B48</t>
  </si>
  <si>
    <t xml:space="preserve">formula: =B17+'Govern overlay'!B92</t>
  </si>
  <si>
    <t xml:space="preserve">C48</t>
  </si>
  <si>
    <t xml:space="preserve">formula: =C17+'Govern overlay'!C92</t>
  </si>
  <si>
    <t xml:space="preserve">D48</t>
  </si>
  <si>
    <t xml:space="preserve">formula: =D17+'Govern overlay'!D92</t>
  </si>
  <si>
    <t xml:space="preserve">E48</t>
  </si>
  <si>
    <t xml:space="preserve">formula: =E17+'Govern overlay'!E92</t>
  </si>
  <si>
    <t xml:space="preserve">F48</t>
  </si>
  <si>
    <t xml:space="preserve">formula: =F17+'Govern overlay'!F92</t>
  </si>
  <si>
    <t xml:space="preserve">A49</t>
  </si>
  <si>
    <t xml:space="preserve">formula: =IF(Assumptions!B120+Assumptions!B130+Assumptions!B134=0,"All Elan1 Govern switches are OFF: rows 44 to 48 equal the engine base above.","One or more Elan1 Govern switches are ON: rows 44 to 48 differ from the engine base above; the gate thresholds in the IM are quoted on the engine base.")</t>
  </si>
  <si>
    <t xml:space="preserve">Live switch status</t>
  </si>
  <si>
    <t xml:space="preserve">A50</t>
  </si>
  <si>
    <t xml:space="preserve">Explains block</t>
  </si>
  <si>
    <t xml:space="preserve">Brief: scope is every tool call in any industry (previously ERP writes first, Indian finance first)</t>
  </si>
  <si>
    <t xml:space="preserve">Shows all three switches with their effects; reads cost flagged as top model risk (coordinator decision 1)</t>
  </si>
  <si>
    <t xml:space="preserve">Explains the sensitivity table</t>
  </si>
  <si>
    <t xml:space="preserve">Sensitivity header</t>
  </si>
  <si>
    <t xml:space="preserve">G47</t>
  </si>
  <si>
    <t xml:space="preserve">Sensitivity parameter (MODELLED)</t>
  </si>
  <si>
    <t xml:space="preserve">G48</t>
  </si>
  <si>
    <t xml:space="preserve">C49</t>
  </si>
  <si>
    <t xml:space="preserve">D49</t>
  </si>
  <si>
    <t xml:space="preserve">E49</t>
  </si>
  <si>
    <t xml:space="preserve">F49</t>
  </si>
  <si>
    <t xml:space="preserve">G49</t>
  </si>
  <si>
    <t xml:space="preserve">B50</t>
  </si>
  <si>
    <t xml:space="preserve">C50</t>
  </si>
  <si>
    <t xml:space="preserve">D50</t>
  </si>
  <si>
    <t xml:space="preserve">E50</t>
  </si>
  <si>
    <t xml:space="preserve">F50</t>
  </si>
  <si>
    <t xml:space="preserve">G50</t>
  </si>
  <si>
    <t xml:space="preserve">A51</t>
  </si>
  <si>
    <t xml:space="preserve">D51</t>
  </si>
  <si>
    <t xml:space="preserve">E51</t>
  </si>
  <si>
    <t xml:space="preserve">F51</t>
  </si>
  <si>
    <t xml:space="preserve">G51</t>
  </si>
  <si>
    <t xml:space="preserve">A52</t>
  </si>
  <si>
    <t xml:space="preserve">D52</t>
  </si>
  <si>
    <t xml:space="preserve">E52</t>
  </si>
  <si>
    <t xml:space="preserve">F52</t>
  </si>
  <si>
    <t xml:space="preserve">G52</t>
  </si>
  <si>
    <t xml:space="preserve">A53</t>
  </si>
  <si>
    <t xml:space="preserve">Sensitivity result (formula)</t>
  </si>
  <si>
    <t xml:space="preserve">formula: ='Summary P&amp;L'!F6+(B$52*'Govern overlay'!F65+'Govern overlay'!F76*B$48*B$50*B$51)</t>
  </si>
  <si>
    <t xml:space="preserve">formula: ='Summary P&amp;L'!F6+(C$52*'Govern overlay'!F65+'Govern overlay'!F76*C$48*C$50*C$51)</t>
  </si>
  <si>
    <t xml:space="preserve">D53</t>
  </si>
  <si>
    <t xml:space="preserve">formula: ='Summary P&amp;L'!F6+(D$52*'Govern overlay'!F65+'Govern overlay'!F76*D$48*D$50*D$51)</t>
  </si>
  <si>
    <t xml:space="preserve">E53</t>
  </si>
  <si>
    <t xml:space="preserve">formula: ='Summary P&amp;L'!F6+(E$52*'Govern overlay'!F65+'Govern overlay'!F76*E$48*E$50*E$51)</t>
  </si>
  <si>
    <t xml:space="preserve">F53</t>
  </si>
  <si>
    <t xml:space="preserve">formula: ='Summary P&amp;L'!F6+(F$52*'Govern overlay'!F65+'Govern overlay'!F76*F$48*F$50*F$51)</t>
  </si>
  <si>
    <t xml:space="preserve">G53</t>
  </si>
  <si>
    <t xml:space="preserve">formula: ='Summary P&amp;L'!F6+(G$52*'Govern overlay'!F65+'Govern overlay'!F76*G$48*G$50*G$51)</t>
  </si>
  <si>
    <t xml:space="preserve">A54</t>
  </si>
  <si>
    <t xml:space="preserve">formula: =('Summary P&amp;L'!D6+(B$52*'Govern overlay'!D65+'Govern overlay'!D76*B$48*B$50*B$51)-'Summary P&amp;L'!D7-(B$52*'Govern overlay'!D66+'Govern overlay'!D75*B$48*B$49))/('Summary P&amp;L'!D6+(B$52*'Govern overlay'!D65+'Govern overlay'!D76*B$48*B$50*B$51))</t>
  </si>
  <si>
    <t xml:space="preserve">formula: =('Summary P&amp;L'!D6+(C$52*'Govern overlay'!D65+'Govern overlay'!D76*C$48*C$50*C$51)-'Summary P&amp;L'!D7-(C$52*'Govern overlay'!D66+'Govern overlay'!D75*C$48*C$49))/('Summary P&amp;L'!D6+(C$52*'Govern overlay'!D65+'Govern overlay'!D76*C$48*C$50*C$51))</t>
  </si>
  <si>
    <t xml:space="preserve">D54</t>
  </si>
  <si>
    <t xml:space="preserve">formula: =('Summary P&amp;L'!D6+(D$52*'Govern overlay'!D65+'Govern overlay'!D76*D$48*D$50*D$51)-'Summary P&amp;L'!D7-(D$52*'Govern overlay'!D66+'Govern overlay'!D75*D$48*D$49))/('Summary P&amp;L'!D6+(D$52*'Govern overlay'!D65+'Govern overlay'!D76*D$48*D$50*D$51))</t>
  </si>
  <si>
    <t xml:space="preserve">E54</t>
  </si>
  <si>
    <t xml:space="preserve">formula: =('Summary P&amp;L'!D6+(E$52*'Govern overlay'!D65+'Govern overlay'!D76*E$48*E$50*E$51)-'Summary P&amp;L'!D7-(E$52*'Govern overlay'!D66+'Govern overlay'!D75*E$48*E$49))/('Summary P&amp;L'!D6+(E$52*'Govern overlay'!D65+'Govern overlay'!D76*E$48*E$50*E$51))</t>
  </si>
  <si>
    <t xml:space="preserve">F54</t>
  </si>
  <si>
    <t xml:space="preserve">formula: =('Summary P&amp;L'!D6+(F$52*'Govern overlay'!D65+'Govern overlay'!D76*F$48*F$50*F$51)-'Summary P&amp;L'!D7-(F$52*'Govern overlay'!D66+'Govern overlay'!D75*F$48*F$49))/('Summary P&amp;L'!D6+(F$52*'Govern overlay'!D65+'Govern overlay'!D76*F$48*F$50*F$51))</t>
  </si>
  <si>
    <t xml:space="preserve">G54</t>
  </si>
  <si>
    <t xml:space="preserve">formula: =('Summary P&amp;L'!D6+(G$52*'Govern overlay'!D65+'Govern overlay'!D76*G$48*G$50*G$51)-'Summary P&amp;L'!D7-(G$52*'Govern overlay'!D66+'Govern overlay'!D75*G$48*G$49))/('Summary P&amp;L'!D6+(G$52*'Govern overlay'!D65+'Govern overlay'!D76*G$48*G$50*G$51))</t>
  </si>
  <si>
    <t xml:space="preserve">A55</t>
  </si>
  <si>
    <t xml:space="preserve">B55</t>
  </si>
  <si>
    <t xml:space="preserve">formula: =(B54-$B$54)*100</t>
  </si>
  <si>
    <t xml:space="preserve">C55</t>
  </si>
  <si>
    <t xml:space="preserve">formula: =(C54-$B$54)*100</t>
  </si>
  <si>
    <t xml:space="preserve">D55</t>
  </si>
  <si>
    <t xml:space="preserve">formula: =(D54-$B$54)*100</t>
  </si>
  <si>
    <t xml:space="preserve">E55</t>
  </si>
  <si>
    <t xml:space="preserve">formula: =(E54-$B$54)*100</t>
  </si>
  <si>
    <t xml:space="preserve">F55</t>
  </si>
  <si>
    <t xml:space="preserve">formula: =(F54-$B$54)*100</t>
  </si>
  <si>
    <t xml:space="preserve">G55</t>
  </si>
  <si>
    <t xml:space="preserve">formula: =(G54-$B$54)*100</t>
  </si>
  <si>
    <t xml:space="preserve">A56</t>
  </si>
  <si>
    <t xml:space="preserve">B56</t>
  </si>
  <si>
    <t xml:space="preserve">formula: ='Summary P&amp;L'!E11+(B$52*'Govern overlay'!E65+'Govern overlay'!E76*B$48*B$50*B$51)-(B$52*'Govern overlay'!E66+'Govern overlay'!E75*B$48*B$49)</t>
  </si>
  <si>
    <t xml:space="preserve">C56</t>
  </si>
  <si>
    <t xml:space="preserve">formula: ='Summary P&amp;L'!E11+(C$52*'Govern overlay'!E65+'Govern overlay'!E76*C$48*C$50*C$51)-(C$52*'Govern overlay'!E66+'Govern overlay'!E75*C$48*C$49)</t>
  </si>
  <si>
    <t xml:space="preserve">D56</t>
  </si>
  <si>
    <t xml:space="preserve">formula: ='Summary P&amp;L'!E11+(D$52*'Govern overlay'!E65+'Govern overlay'!E76*D$48*D$50*D$51)-(D$52*'Govern overlay'!E66+'Govern overlay'!E75*D$48*D$49)</t>
  </si>
  <si>
    <t xml:space="preserve">E56</t>
  </si>
  <si>
    <t xml:space="preserve">formula: ='Summary P&amp;L'!E11+(E$52*'Govern overlay'!E65+'Govern overlay'!E76*E$48*E$50*E$51)-(E$52*'Govern overlay'!E66+'Govern overlay'!E75*E$48*E$49)</t>
  </si>
  <si>
    <t xml:space="preserve">F56</t>
  </si>
  <si>
    <t xml:space="preserve">formula: ='Summary P&amp;L'!E11+(F$52*'Govern overlay'!E65+'Govern overlay'!E76*F$48*F$50*F$51)-(F$52*'Govern overlay'!E66+'Govern overlay'!E75*F$48*F$49)</t>
  </si>
  <si>
    <t xml:space="preserve">G56</t>
  </si>
  <si>
    <t xml:space="preserve">formula: ='Summary P&amp;L'!E11+(G$52*'Govern overlay'!E65+'Govern overlay'!E76*G$48*G$50*G$51)-(G$52*'Govern overlay'!E66+'Govern overlay'!E75*G$48*G$49)</t>
  </si>
  <si>
    <t xml:space="preserve">A57</t>
  </si>
  <si>
    <t xml:space="preserve">B57</t>
  </si>
  <si>
    <t xml:space="preserve">formula: =('Summary P&amp;L'!F6+(B$52*'Govern overlay'!F65+'Govern overlay'!F76*B$48*B$50*B$51)-'Summary P&amp;L'!F7-(B$52*'Govern overlay'!F66+'Govern overlay'!F75*B$48*B$49))/('Summary P&amp;L'!F6+(B$52*'Govern overlay'!F65+'Govern overlay'!F76*B$48*B$50*B$51))</t>
  </si>
  <si>
    <t xml:space="preserve">C57</t>
  </si>
  <si>
    <t xml:space="preserve">formula: =('Summary P&amp;L'!F6+(C$52*'Govern overlay'!F65+'Govern overlay'!F76*C$48*C$50*C$51)-'Summary P&amp;L'!F7-(C$52*'Govern overlay'!F66+'Govern overlay'!F75*C$48*C$49))/('Summary P&amp;L'!F6+(C$52*'Govern overlay'!F65+'Govern overlay'!F76*C$48*C$50*C$51))</t>
  </si>
  <si>
    <t xml:space="preserve">D57</t>
  </si>
  <si>
    <t xml:space="preserve">formula: =('Summary P&amp;L'!F6+(D$52*'Govern overlay'!F65+'Govern overlay'!F76*D$48*D$50*D$51)-'Summary P&amp;L'!F7-(D$52*'Govern overlay'!F66+'Govern overlay'!F75*D$48*D$49))/('Summary P&amp;L'!F6+(D$52*'Govern overlay'!F65+'Govern overlay'!F76*D$48*D$50*D$51))</t>
  </si>
  <si>
    <t xml:space="preserve">E57</t>
  </si>
  <si>
    <t xml:space="preserve">formula: =('Summary P&amp;L'!F6+(E$52*'Govern overlay'!F65+'Govern overlay'!F76*E$48*E$50*E$51)-'Summary P&amp;L'!F7-(E$52*'Govern overlay'!F66+'Govern overlay'!F75*E$48*E$49))/('Summary P&amp;L'!F6+(E$52*'Govern overlay'!F65+'Govern overlay'!F76*E$48*E$50*E$51))</t>
  </si>
  <si>
    <t xml:space="preserve">F57</t>
  </si>
  <si>
    <t xml:space="preserve">formula: =('Summary P&amp;L'!F6+(F$52*'Govern overlay'!F65+'Govern overlay'!F76*F$48*F$50*F$51)-'Summary P&amp;L'!F7-(F$52*'Govern overlay'!F66+'Govern overlay'!F75*F$48*F$49))/('Summary P&amp;L'!F6+(F$52*'Govern overlay'!F65+'Govern overlay'!F76*F$48*F$50*F$51))</t>
  </si>
  <si>
    <t xml:space="preserve">G57</t>
  </si>
  <si>
    <t xml:space="preserve">formula: =('Summary P&amp;L'!F6+(G$52*'Govern overlay'!F65+'Govern overlay'!F76*G$48*G$50*G$51)-'Summary P&amp;L'!F7-(G$52*'Govern overlay'!F66+'Govern overlay'!F75*G$48*G$49))/('Summary P&amp;L'!F6+(G$52*'Govern overlay'!F65+'Govern overlay'!F76*G$48*G$50*G$51))</t>
  </si>
  <si>
    <t xml:space="preserve">A58</t>
  </si>
  <si>
    <t xml:space="preserve">B58</t>
  </si>
  <si>
    <t xml:space="preserve">formula: ='Summary P&amp;L'!F11+(B$52*'Govern overlay'!F65+'Govern overlay'!F76*B$48*B$50*B$51)-(B$52*'Govern overlay'!F66+'Govern overlay'!F75*B$48*B$49)</t>
  </si>
  <si>
    <t xml:space="preserve">C58</t>
  </si>
  <si>
    <t xml:space="preserve">formula: ='Summary P&amp;L'!F11+(C$52*'Govern overlay'!F65+'Govern overlay'!F76*C$48*C$50*C$51)-(C$52*'Govern overlay'!F66+'Govern overlay'!F75*C$48*C$49)</t>
  </si>
  <si>
    <t xml:space="preserve">D58</t>
  </si>
  <si>
    <t xml:space="preserve">formula: ='Summary P&amp;L'!F11+(D$52*'Govern overlay'!F65+'Govern overlay'!F76*D$48*D$50*D$51)-(D$52*'Govern overlay'!F66+'Govern overlay'!F75*D$48*D$49)</t>
  </si>
  <si>
    <t xml:space="preserve">E58</t>
  </si>
  <si>
    <t xml:space="preserve">formula: ='Summary P&amp;L'!F11+(E$52*'Govern overlay'!F65+'Govern overlay'!F76*E$48*E$50*E$51)-(E$52*'Govern overlay'!F66+'Govern overlay'!F75*E$48*E$49)</t>
  </si>
  <si>
    <t xml:space="preserve">F58</t>
  </si>
  <si>
    <t xml:space="preserve">formula: ='Summary P&amp;L'!F11+(F$52*'Govern overlay'!F65+'Govern overlay'!F76*F$48*F$50*F$51)-(F$52*'Govern overlay'!F66+'Govern overlay'!F75*F$48*F$49)</t>
  </si>
  <si>
    <t xml:space="preserve">G58</t>
  </si>
  <si>
    <t xml:space="preserve">formula: ='Summary P&amp;L'!F11+(G$52*'Govern overlay'!F65+'Govern overlay'!F76*G$48*G$50*G$51)-(G$52*'Govern overlay'!F66+'Govern overlay'!F75*G$48*G$49)</t>
  </si>
  <si>
    <t xml:space="preserve">A59</t>
  </si>
  <si>
    <t xml:space="preserve">B59</t>
  </si>
  <si>
    <t xml:space="preserve">formula: ='Summary P&amp;L'!F18+B$52*'Govern overlay'!F68+SUM('Govern overlay'!B76:F76)*B$48*B$50*B$51-SUM('Govern overlay'!B75:F75)*B$48*B$49</t>
  </si>
  <si>
    <t xml:space="preserve">C59</t>
  </si>
  <si>
    <t xml:space="preserve">formula: ='Summary P&amp;L'!F18+C$52*'Govern overlay'!F68+SUM('Govern overlay'!B76:F76)*C$48*C$50*C$51-SUM('Govern overlay'!B75:F75)*C$48*C$49</t>
  </si>
  <si>
    <t xml:space="preserve">D59</t>
  </si>
  <si>
    <t xml:space="preserve">formula: ='Summary P&amp;L'!F18+D$52*'Govern overlay'!F68+SUM('Govern overlay'!B76:F76)*D$48*D$50*D$51-SUM('Govern overlay'!B75:F75)*D$48*D$49</t>
  </si>
  <si>
    <t xml:space="preserve">E59</t>
  </si>
  <si>
    <t xml:space="preserve">formula: ='Summary P&amp;L'!F18+E$52*'Govern overlay'!F68+SUM('Govern overlay'!B76:F76)*E$48*E$50*E$51-SUM('Govern overlay'!B75:F75)*E$48*E$49</t>
  </si>
  <si>
    <t xml:space="preserve">F59</t>
  </si>
  <si>
    <t xml:space="preserve">formula: ='Summary P&amp;L'!F18+F$52*'Govern overlay'!F68+SUM('Govern overlay'!B76:F76)*F$48*F$50*F$51-SUM('Govern overlay'!B75:F75)*F$48*F$49</t>
  </si>
  <si>
    <t xml:space="preserve">G59</t>
  </si>
  <si>
    <t xml:space="preserve">formula: ='Summary P&amp;L'!F18+G$52*'Govern overlay'!F68+SUM('Govern overlay'!B76:F76)*G$48*G$50*G$51-SUM('Govern overlay'!B75:F75)*G$48*G$49</t>
  </si>
  <si>
    <t xml:space="preserve">A60</t>
  </si>
  <si>
    <t xml:space="preserve">B60</t>
  </si>
  <si>
    <t xml:space="preserve">formula: ='Cash and funding'!G29+B$52*'Govern overlay'!M29+('Govern overlay'!B76+'Govern overlay'!C76+0.5*'Govern overlay'!D76)*B$48*B$50*B$51-('Govern overlay'!B75+'Govern overlay'!C75+0.5*'Govern overlay'!D75)*B$48*B$49</t>
  </si>
  <si>
    <t xml:space="preserve">C60</t>
  </si>
  <si>
    <t xml:space="preserve">formula: ='Cash and funding'!G29+C$52*'Govern overlay'!M29+('Govern overlay'!B76+'Govern overlay'!C76+0.5*'Govern overlay'!D76)*C$48*C$50*C$51-('Govern overlay'!B75+'Govern overlay'!C75+0.5*'Govern overlay'!D75)*C$48*C$49</t>
  </si>
  <si>
    <t xml:space="preserve">D60</t>
  </si>
  <si>
    <t xml:space="preserve">formula: ='Cash and funding'!G29+D$52*'Govern overlay'!M29+('Govern overlay'!B76+'Govern overlay'!C76+0.5*'Govern overlay'!D76)*D$48*D$50*D$51-('Govern overlay'!B75+'Govern overlay'!C75+0.5*'Govern overlay'!D75)*D$48*D$49</t>
  </si>
  <si>
    <t xml:space="preserve">E60</t>
  </si>
  <si>
    <t xml:space="preserve">formula: ='Cash and funding'!G29+E$52*'Govern overlay'!M29+('Govern overlay'!B76+'Govern overlay'!C76+0.5*'Govern overlay'!D76)*E$48*E$50*E$51-('Govern overlay'!B75+'Govern overlay'!C75+0.5*'Govern overlay'!D75)*E$48*E$49</t>
  </si>
  <si>
    <t xml:space="preserve">F60</t>
  </si>
  <si>
    <t xml:space="preserve">formula: ='Cash and funding'!G29+F$52*'Govern overlay'!M29+('Govern overlay'!B76+'Govern overlay'!C76+0.5*'Govern overlay'!D76)*F$48*F$50*F$51-('Govern overlay'!B75+'Govern overlay'!C75+0.5*'Govern overlay'!D75)*F$48*F$49</t>
  </si>
  <si>
    <t xml:space="preserve">G60</t>
  </si>
  <si>
    <t xml:space="preserve">formula: ='Cash and funding'!G29+G$52*'Govern overlay'!M29+('Govern overlay'!B76+'Govern overlay'!C76+0.5*'Govern overlay'!D76)*G$48*G$50*G$51-('Govern overlay'!B75+'Govern overlay'!C75+0.5*'Govern overlay'!D75)*G$48*G$49</t>
  </si>
  <si>
    <t xml:space="preserve">A61</t>
  </si>
  <si>
    <t xml:space="preserve">Sensitivity note</t>
  </si>
  <si>
    <t xml:space="preserve">A62</t>
  </si>
  <si>
    <t xml:space="preserve">E5</t>
  </si>
  <si>
    <t xml:space="preserve">Build status beside each gate (brief: Elan1 Govern is working code; code audit 27 Oct 2026)</t>
  </si>
  <si>
    <t xml:space="preserve">FACT-AUDIT</t>
  </si>
  <si>
    <t xml:space="preserve">E6</t>
  </si>
  <si>
    <t xml:space="preserve">Code audit (work/facts/govern-facts.md, commit 22388ad): what Elan1 Govern has actually built; no date moved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</si>
  <si>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</si>
  <si>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</si>
  <si>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</si>
  <si>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</si>
  <si>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</si>
  <si>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</si>
  <si>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</si>
  <si>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</si>
  <si>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</si>
  <si>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</si>
  <si>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</si>
  <si>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</si>
  <si>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A19</t>
  </si>
  <si>
    <t xml:space="preserve">Records the 27 Oct 2026 rename and build status as a dated event (row 19 was the only empty row; placed after the plan rows)</t>
  </si>
  <si>
    <t xml:space="preserve">B19</t>
  </si>
  <si>
    <t xml:space="preserve">C19</t>
  </si>
  <si>
    <t xml:space="preserve">D19</t>
  </si>
  <si>
    <t xml:space="preserve">E19</t>
  </si>
  <si>
    <t xml:space="preserve">New sheet: filled from work/facts/govern-facts.md</t>
  </si>
  <si>
    <t xml:space="preserve">Brief: Elan1 Govern is working code; status per capability with evidence</t>
  </si>
  <si>
    <t xml:space="preserve">None (no numbers)</t>
  </si>
  <si>
    <t xml:space="preserve">Delete the sheet</t>
  </si>
  <si>
    <t xml:space="preserve">C10</t>
  </si>
  <si>
    <t xml:space="preserve">(not changed)</t>
  </si>
  <si>
    <t xml:space="preserve">Found, not changed — founder to confirm: says L2 mix ramps to 28% of tenants by March 2030, but Assumptions D70/B70 gives 35.3% (110.2 of 312) and Assumptions A84 says 36-39%</t>
  </si>
  <si>
    <t xml:space="preserve">FOUND</t>
  </si>
  <si>
    <t xml:space="preserve">n/a</t>
  </si>
  <si>
    <t xml:space="preserve">A17:D17</t>
  </si>
  <si>
    <t xml:space="preserve">April 2029 — Price escalation begins (listed after October 2029)</t>
  </si>
  <si>
    <t xml:space="preserve">Found, not changed — founder to confirm: row is out of date order (April 2029 sits after the October 2029 row)</t>
  </si>
  <si>
    <t xml:space="preserve">Workbook</t>
  </si>
  <si>
    <t xml:space="preserve">file</t>
  </si>
  <si>
    <t xml:space="preserve">elan1-financial-model.xlsx (src/fm.xlsx)</t>
  </si>
  <si>
    <t xml:space="preserve">elan1-govern-financial-model.xlsx</t>
  </si>
  <si>
    <t xml:space="preserve">Revised edition under the new product name; saved after a forced full recalculation so formula results are stored</t>
  </si>
  <si>
    <t xml:space="preserve">Use the original file</t>
  </si>
  <si>
    <t xml:space="preserve">New sheet</t>
  </si>
  <si>
    <t xml:space="preserve">Logs every change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</si>
</sst>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_);\(#,##0\)"/>
    <numFmt numFmtId="166" formatCode="0.000_);\(0.000\)"/>
    <numFmt numFmtId="167" formatCode="#,##0.0_);\(#,##0.0\)"/>
    <numFmt numFmtId="168" formatCode="0.0%_);\(0.0%\)"/>
    <numFmt numFmtId="169" formatCode="#,##0.00_);\(#,##0.00\)"/>
    <numFmt numFmtId="170" formatCode="0.0"/>
    <numFmt numFmtId="171" formatCode="0.00"/>
    <numFmt numFmtId="172" formatCode="0.00\×"/>
    <numFmt numFmtId="173" formatCode="#,##0.000_);\(#,##0.000\)"/>
    <numFmt numFmtId="174" formatCode="@"/>
    <numFmt numFmtId="175" formatCode="0.0_);\(0.0\)"/>
    <numFmt numFmtId="176" formatCode="0.0000_);\(0.0000\)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libri"/>
      <family val="0"/>
      <charset val="1"/>
    </font>
    <font>
      <sz val="12.5"/>
      <color rgb="FFCFE3E2"/>
      <name val="Calibri"/>
      <family val="0"/>
      <charset val="1"/>
    </font>
    <font>
      <sz val="10"/>
      <color rgb="FFA9C9C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0141C"/>
      <name val="Calibri"/>
      <family val="0"/>
      <charset val="1"/>
    </font>
    <font>
      <sz val="10"/>
      <color rgb="FF10141C"/>
      <name val="Calibri"/>
      <family val="0"/>
      <charset val="1"/>
    </font>
    <font>
      <sz val="10"/>
      <color rgb="FFB4541E"/>
      <name val="Calibri"/>
      <family val="0"/>
      <charset val="1"/>
    </font>
    <font>
      <b val="true"/>
      <sz val="10"/>
      <color rgb="FF0B5D5B"/>
      <name val="Calibri"/>
      <family val="0"/>
      <charset val="1"/>
    </font>
    <font>
      <i val="true"/>
      <sz val="9"/>
      <color rgb="FF5B6472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.5"/>
      <color rgb="FF5B6472"/>
      <name val="Calibri"/>
      <family val="0"/>
      <charset val="1"/>
    </font>
    <font>
      <sz val="9"/>
      <color rgb="FF5B6472"/>
      <name val="Calibri"/>
      <family val="0"/>
      <charset val="1"/>
    </font>
    <font>
      <b val="true"/>
      <sz val="10"/>
      <color rgb="FFB4541E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5D5B"/>
        <bgColor rgb="FF003366"/>
      </patternFill>
    </fill>
    <fill>
      <patternFill patternType="solid">
        <fgColor rgb="FF10141C"/>
        <bgColor rgb="FF000000"/>
      </patternFill>
    </fill>
    <fill>
      <patternFill patternType="solid">
        <fgColor rgb="FFF4F6F9"/>
        <bgColor rgb="FFFFFFFF"/>
      </patternFill>
    </fill>
    <fill>
      <patternFill patternType="solid">
        <fgColor rgb="FFFFF4D6"/>
        <bgColor rgb="FFF4F6F9"/>
      </patternFill>
    </fill>
    <fill>
      <patternFill patternType="solid">
        <fgColor rgb="FFDDEBEA"/>
        <bgColor rgb="FFCFE3E2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DCE3"/>
      </bottom>
      <diagonal/>
    </border>
    <border diagonalUp="false" diagonalDown="false">
      <left/>
      <right/>
      <top/>
      <bottom style="thin">
        <color rgb="FF10141C"/>
      </bottom>
      <diagonal/>
    </border>
    <border diagonalUp="false" diagonalDown="false">
      <left/>
      <right/>
      <top/>
      <bottom style="thin">
        <color rgb="FFC9CED6"/>
      </bottom>
      <diagonal/>
    </border>
    <border diagonalUp="false" diagonalDown="false">
      <left/>
      <right/>
      <top style="thin">
        <color rgb="FF10141C"/>
      </top>
      <bottom style="double">
        <color rgb="FF10141C"/>
      </bottom>
      <diagonal/>
    </border>
    <border diagonalUp="false" diagonalDown="false">
      <left/>
      <right/>
      <top style="thin">
        <color rgb="FF0B5D5B"/>
      </top>
      <bottom style="thin">
        <color rgb="FF0B5D5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9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9" fontId="9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9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6" borderId="5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9" fontId="9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5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6" fillId="4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74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color rgb="FFB4541E"/>
      </font>
    </dxf>
    <dxf>
      <fill>
        <patternFill patternType="solid">
          <fgColor rgb="FFF4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014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8A86"/>
      <rgbColor rgb="FFA9C9C7"/>
      <rgbColor rgb="FF878787"/>
      <rgbColor rgb="FF9999FF"/>
      <rgbColor rgb="FFC24A2A"/>
      <rgbColor rgb="FFFFF4D6"/>
      <rgbColor rgb="FFDDEBEA"/>
      <rgbColor rgb="FF660066"/>
      <rgbColor rgb="FFD98A4E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B5D5B"/>
      <rgbColor rgb="FF0000FF"/>
      <rgbColor rgb="FF00CCFF"/>
      <rgbColor rgb="FFF4F6F9"/>
      <rgbColor rgb="FFCFE3E2"/>
      <rgbColor rgb="FFFFFF99"/>
      <rgbColor rgb="FFD7DCE3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B6472"/>
      <rgbColor rgb="FF8A6FA8"/>
      <rgbColor rgb="FF003366"/>
      <rgbColor rgb="FF3FA9A5"/>
      <rgbColor rgb="FF10141C"/>
      <rgbColor rgb="FF333300"/>
      <rgbColor rgb="FFB454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EBITDA by financial year (Rs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P&amp;L'!A6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b5d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P&amp;L'!$B$5:$F$5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'Summary P&amp;L'!$B$6:$F$6</c:f>
              <c:numCache>
                <c:formatCode>#,##0.00_);\(#,##0.00\)</c:formatCode>
                <c:ptCount val="5"/>
                <c:pt idx="0">
                  <c:v>0.0144</c:v>
                </c:pt>
                <c:pt idx="1">
                  <c:v>1.8901324621</c:v>
                </c:pt>
                <c:pt idx="2">
                  <c:v>18.0775314634</c:v>
                </c:pt>
                <c:pt idx="3">
                  <c:v>81.1799878901</c:v>
                </c:pt>
                <c:pt idx="4">
                  <c:v>230.3175544147</c:v>
                </c:pt>
              </c:numCache>
            </c:numRef>
          </c:val>
        </c:ser>
        <c:ser>
          <c:idx val="1"/>
          <c:order val="1"/>
          <c:tx>
            <c:strRef>
              <c:f>'Summary P&amp;L'!A11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b454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P&amp;L'!$B$5:$F$5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'Summary P&amp;L'!$B$11:$F$11</c:f>
              <c:numCache>
                <c:formatCode>#,##0.00_);\(#,##0.00\)</c:formatCode>
                <c:ptCount val="5"/>
                <c:pt idx="0">
                  <c:v>-4.4838725281</c:v>
                </c:pt>
                <c:pt idx="1">
                  <c:v>-26.7264033753</c:v>
                </c:pt>
                <c:pt idx="2">
                  <c:v>-50.7331682406</c:v>
                </c:pt>
                <c:pt idx="3">
                  <c:v>-46.4811758231</c:v>
                </c:pt>
                <c:pt idx="4">
                  <c:v>22.5759510405</c:v>
                </c:pt>
              </c:numCache>
            </c:numRef>
          </c:val>
        </c:ser>
        <c:gapWidth val="150"/>
        <c:overlap val="0"/>
        <c:axId val="42650358"/>
        <c:axId val="44177343"/>
      </c:barChart>
      <c:catAx>
        <c:axId val="426503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177343"/>
        <c:crosses val="autoZero"/>
        <c:auto val="1"/>
        <c:lblAlgn val="ctr"/>
        <c:lblOffset val="100"/>
        <c:noMultiLvlLbl val="0"/>
      </c:catAx>
      <c:valAx>
        <c:axId val="4417734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_);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503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mix by financial year (Rs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'Revenue build'!A7</c:f>
              <c:strCache>
                <c:ptCount val="1"/>
                <c:pt idx="0">
                  <c:v>Platform licence</c:v>
                </c:pt>
              </c:strCache>
            </c:strRef>
          </c:tx>
          <c:spPr>
            <a:solidFill>
              <a:srgbClr val="0b5d5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build'!$B$6:$F$6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'Revenue build'!$B$7:$F$7</c:f>
              <c:numCache>
                <c:formatCode>#,##0.00_);\(#,##0.00\)</c:formatCode>
                <c:ptCount val="5"/>
                <c:pt idx="0">
                  <c:v>0</c:v>
                </c:pt>
                <c:pt idx="1">
                  <c:v>0.252</c:v>
                </c:pt>
                <c:pt idx="2">
                  <c:v>2.367505</c:v>
                </c:pt>
                <c:pt idx="3">
                  <c:v>9.0524531739</c:v>
                </c:pt>
                <c:pt idx="4">
                  <c:v>23.5523278343</c:v>
                </c:pt>
              </c:numCache>
            </c:numRef>
          </c:val>
        </c:ser>
        <c:ser>
          <c:idx val="1"/>
          <c:order val="1"/>
          <c:tx>
            <c:strRef>
              <c:f>'Revenue build'!A8</c:f>
              <c:strCache>
                <c:ptCount val="1"/>
                <c:pt idx="0">
                  <c:v>Governed actions - external</c:v>
                </c:pt>
              </c:strCache>
            </c:strRef>
          </c:tx>
          <c:spPr>
            <a:solidFill>
              <a:srgbClr val="1f8a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build'!$B$6:$F$6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'Revenue build'!$B$8:$F$8</c:f>
              <c:numCache>
                <c:formatCode>#,##0.00_);\(#,##0.00\)</c:formatCode>
                <c:ptCount val="5"/>
                <c:pt idx="0">
                  <c:v>0</c:v>
                </c:pt>
                <c:pt idx="1">
                  <c:v>1.0503506607</c:v>
                </c:pt>
                <c:pt idx="2">
                  <c:v>11.9608863785</c:v>
                </c:pt>
                <c:pt idx="3">
                  <c:v>58.7046062754</c:v>
                </c:pt>
                <c:pt idx="4">
                  <c:v>176.984300688</c:v>
                </c:pt>
              </c:numCache>
            </c:numRef>
          </c:val>
        </c:ser>
        <c:ser>
          <c:idx val="2"/>
          <c:order val="2"/>
          <c:tx>
            <c:strRef>
              <c:f>'Revenue build'!A9</c:f>
              <c:strCache>
                <c:ptCount val="1"/>
                <c:pt idx="0">
                  <c:v>Governed actions - internal (rung1)</c:v>
                </c:pt>
              </c:strCache>
            </c:strRef>
          </c:tx>
          <c:spPr>
            <a:solidFill>
              <a:srgbClr val="3fa9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build'!$B$6:$F$6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'Revenue build'!$B$9:$F$9</c:f>
              <c:numCache>
                <c:formatCode>#,##0.00_);\(#,##0.00\)</c:formatCode>
                <c:ptCount val="5"/>
                <c:pt idx="0">
                  <c:v>0.0144</c:v>
                </c:pt>
                <c:pt idx="1">
                  <c:v>0.5216</c:v>
                </c:pt>
                <c:pt idx="2">
                  <c:v>2.184</c:v>
                </c:pt>
                <c:pt idx="3">
                  <c:v>5.58</c:v>
                </c:pt>
                <c:pt idx="4">
                  <c:v>11.2</c:v>
                </c:pt>
              </c:numCache>
            </c:numRef>
          </c:val>
        </c:ser>
        <c:ser>
          <c:idx val="3"/>
          <c:order val="3"/>
          <c:tx>
            <c:strRef>
              <c:f>'Revenue build'!A10</c:f>
              <c:strCache>
                <c:ptCount val="1"/>
                <c:pt idx="0">
                  <c:v>Evidence SKU</c:v>
                </c:pt>
              </c:strCache>
            </c:strRef>
          </c:tx>
          <c:spPr>
            <a:solidFill>
              <a:srgbClr val="b454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build'!$B$6:$F$6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'Revenue build'!$B$10:$F$10</c:f>
              <c:numCache>
                <c:formatCode>#,##0.00_);\(#,##0.00\)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1.08806125</c:v>
                </c:pt>
                <c:pt idx="3">
                  <c:v>6.3160018003</c:v>
                </c:pt>
                <c:pt idx="4">
                  <c:v>17.8419224978</c:v>
                </c:pt>
              </c:numCache>
            </c:numRef>
          </c:val>
        </c:ser>
        <c:ser>
          <c:idx val="4"/>
          <c:order val="4"/>
          <c:tx>
            <c:strRef>
              <c:f>'Revenue build'!A11</c:f>
              <c:strCache>
                <c:ptCount val="1"/>
                <c:pt idx="0">
                  <c:v>Regulatory packs</c:v>
                </c:pt>
              </c:strCache>
            </c:strRef>
          </c:tx>
          <c:spPr>
            <a:solidFill>
              <a:srgbClr val="d98a4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build'!$B$6:$F$6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'Revenue build'!$B$11:$F$11</c:f>
              <c:numCache>
                <c:formatCode>#,##0.00_);\(#,##0.00\)</c:formatCode>
                <c:ptCount val="5"/>
                <c:pt idx="0">
                  <c:v>0</c:v>
                </c:pt>
                <c:pt idx="1">
                  <c:v>0.0560385</c:v>
                </c:pt>
                <c:pt idx="2">
                  <c:v>0.8291025</c:v>
                </c:pt>
                <c:pt idx="3">
                  <c:v>3.2370353434</c:v>
                </c:pt>
                <c:pt idx="4">
                  <c:v>7.6295802679</c:v>
                </c:pt>
              </c:numCache>
            </c:numRef>
          </c:val>
        </c:ser>
        <c:ser>
          <c:idx val="5"/>
          <c:order val="5"/>
          <c:tx>
            <c:strRef>
              <c:f>'Revenue build'!A12</c:f>
              <c:strCache>
                <c:ptCount val="1"/>
                <c:pt idx="0">
                  <c:v>Sovereign deployments</c:v>
                </c:pt>
              </c:strCache>
            </c:strRef>
          </c:tx>
          <c:spPr>
            <a:solidFill>
              <a:srgbClr val="8a6f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build'!$B$6:$F$6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'Revenue build'!$B$12:$F$12</c:f>
              <c:numCache>
                <c:formatCode>#,##0.00_);\(#,##0.00\)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2.46265145</c:v>
                </c:pt>
                <c:pt idx="4">
                  <c:v>9.4554723279</c:v>
                </c:pt>
              </c:numCache>
            </c:numRef>
          </c:val>
        </c:ser>
        <c:ser>
          <c:idx val="6"/>
          <c:order val="6"/>
          <c:tx>
            <c:strRef>
              <c:f>'Revenue build'!A13</c:f>
              <c:strCache>
                <c:ptCount val="1"/>
                <c:pt idx="0">
                  <c:v>Partner certification</c:v>
                </c:pt>
              </c:strCache>
            </c:strRef>
          </c:tx>
          <c:spPr>
            <a:solidFill>
              <a:srgbClr val="5b647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build'!$B$6:$F$6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'Revenue build'!$B$13:$F$13</c:f>
              <c:numCache>
                <c:formatCode>#,##0.00_);\(#,##0.00\)</c:formatCode>
                <c:ptCount val="5"/>
                <c:pt idx="0">
                  <c:v>0</c:v>
                </c:pt>
                <c:pt idx="1">
                  <c:v>0.02</c:v>
                </c:pt>
                <c:pt idx="2">
                  <c:v>0.255</c:v>
                </c:pt>
                <c:pt idx="3">
                  <c:v>0.7543179503</c:v>
                </c:pt>
                <c:pt idx="4">
                  <c:v>1.6939738065</c:v>
                </c:pt>
              </c:numCache>
            </c:numRef>
          </c:val>
        </c:ser>
        <c:ser>
          <c:idx val="7"/>
          <c:order val="7"/>
          <c:tx>
            <c:strRef>
              <c:f>'Revenue build'!A14</c:f>
              <c:strCache>
                <c:ptCount val="1"/>
                <c:pt idx="0">
                  <c:v>Channel margin (contra)</c:v>
                </c:pt>
              </c:strCache>
            </c:strRef>
          </c:tx>
          <c:spPr>
            <a:solidFill>
              <a:srgbClr val="c24a2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build'!$B$6:$F$6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'Revenue build'!$B$14:$F$14</c:f>
              <c:numCache>
                <c:formatCode>#,##0.00_);\(#,##0.00\)</c:formatCode>
                <c:ptCount val="5"/>
                <c:pt idx="0">
                  <c:v>0</c:v>
                </c:pt>
                <c:pt idx="1">
                  <c:v>-0.0098566985</c:v>
                </c:pt>
                <c:pt idx="2">
                  <c:v>-0.6070236651</c:v>
                </c:pt>
                <c:pt idx="3">
                  <c:v>-4.9270781033</c:v>
                </c:pt>
                <c:pt idx="4">
                  <c:v>-18.0400230077</c:v>
                </c:pt>
              </c:numCache>
            </c:numRef>
          </c:val>
        </c:ser>
        <c:gapWidth val="150"/>
        <c:overlap val="100"/>
        <c:axId val="98267050"/>
        <c:axId val="31716430"/>
      </c:barChart>
      <c:catAx>
        <c:axId val="982670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716430"/>
        <c:crosses val="autoZero"/>
        <c:auto val="1"/>
        <c:lblAlgn val="ctr"/>
        <c:lblOffset val="100"/>
        <c:noMultiLvlLbl val="0"/>
      </c:catAx>
      <c:valAx>
        <c:axId val="3171643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_);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6705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cost per governed action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'Unit economics'!A12</c:f>
              <c:strCache>
                <c:ptCount val="1"/>
                <c:pt idx="0">
                  <c:v>Revenue per governed action (Rs)</c:v>
                </c:pt>
              </c:strCache>
            </c:strRef>
          </c:tx>
          <c:spPr>
            <a:solidFill>
              <a:srgbClr val="0b5d5b"/>
            </a:solidFill>
            <a:ln w="28080">
              <a:solidFill>
                <a:srgbClr val="0b5d5b"/>
              </a:solidFill>
              <a:round/>
            </a:ln>
          </c:spPr>
          <c:marker>
            <c:symbol val="circle"/>
            <c:size val="6"/>
            <c:spPr>
              <a:solidFill>
                <a:srgbClr val="0b5d5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'Unit economics'!$B$6:$F$6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'Unit economics'!$B$12:$F$12</c:f>
              <c:numCache>
                <c:formatCode>0.000_);\(0.000\)</c:formatCode>
                <c:ptCount val="5"/>
                <c:pt idx="0">
                  <c:v>0.4</c:v>
                </c:pt>
                <c:pt idx="1">
                  <c:v>0.717999035935423</c:v>
                </c:pt>
                <c:pt idx="2">
                  <c:v>0.893193973249931</c:v>
                </c:pt>
                <c:pt idx="3">
                  <c:v>0.916678951048343</c:v>
                </c:pt>
                <c:pt idx="4">
                  <c:v>0.924428806003152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'Unit economics'!A13</c:f>
              <c:strCache>
                <c:ptCount val="1"/>
                <c:pt idx="0">
                  <c:v>Cost per governed action (Rs)</c:v>
                </c:pt>
              </c:strCache>
            </c:strRef>
          </c:tx>
          <c:spPr>
            <a:solidFill>
              <a:srgbClr val="b4541e"/>
            </a:solidFill>
            <a:ln w="28080">
              <a:solidFill>
                <a:srgbClr val="b4541e"/>
              </a:solidFill>
              <a:round/>
            </a:ln>
          </c:spPr>
          <c:marker>
            <c:symbol val="circle"/>
            <c:size val="6"/>
            <c:spPr>
              <a:solidFill>
                <a:srgbClr val="b4541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'Unit economics'!$B$6:$F$6</c:f>
              <c:strCache>
                <c:ptCount val="5"/>
                <c:pt idx="0">
                  <c:v>FY2026-27</c:v>
                </c:pt>
                <c:pt idx="1">
                  <c:v>FY2027-28</c:v>
                </c:pt>
                <c:pt idx="2">
                  <c:v>FY2028-29</c:v>
                </c:pt>
                <c:pt idx="3">
                  <c:v>FY2029-30</c:v>
                </c:pt>
                <c:pt idx="4">
                  <c:v>FY2030-31</c:v>
                </c:pt>
              </c:strCache>
            </c:strRef>
          </c:cat>
          <c:val>
            <c:numRef>
              <c:f>'Unit economics'!$B$13:$F$13</c:f>
              <c:numCache>
                <c:formatCode>0.000_);\(0.000\)</c:formatCode>
                <c:ptCount val="5"/>
                <c:pt idx="0">
                  <c:v>3.03900095277778</c:v>
                </c:pt>
                <c:pt idx="1">
                  <c:v>0.636275599164293</c:v>
                </c:pt>
                <c:pt idx="2">
                  <c:v>0.337736355429068</c:v>
                </c:pt>
                <c:pt idx="3">
                  <c:v>0.18707272969033</c:v>
                </c:pt>
                <c:pt idx="4">
                  <c:v>0.129423463605246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695366"/>
        <c:axId val="72019014"/>
      </c:lineChart>
      <c:catAx>
        <c:axId val="356953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19014"/>
        <c:crosses val="autoZero"/>
        <c:auto val="1"/>
        <c:lblAlgn val="ctr"/>
        <c:lblOffset val="100"/>
        <c:noMultiLvlLbl val="0"/>
      </c:catAx>
      <c:valAx>
        <c:axId val="7201901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per governed 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_);\(0.0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953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cash balance, October 2026 to March 2031 (Rs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'Cash and funding'!G5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0b5d5b"/>
            </a:solidFill>
            <a:ln w="28080">
              <a:solidFill>
                <a:srgbClr val="0b5d5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and funding'!$A$6:$A$59</c:f>
              <c:strCache>
                <c:ptCount val="54"/>
                <c:pt idx="0">
                  <c:v>Oct 2026</c:v>
                </c:pt>
                <c:pt idx="1">
                  <c:v>Nov 2026</c:v>
                </c:pt>
                <c:pt idx="2">
                  <c:v>Dec 2026</c:v>
                </c:pt>
                <c:pt idx="3">
                  <c:v>Jan 2027</c:v>
                </c:pt>
                <c:pt idx="4">
                  <c:v>Feb 2027</c:v>
                </c:pt>
                <c:pt idx="5">
                  <c:v>Mar 2027</c:v>
                </c:pt>
                <c:pt idx="6">
                  <c:v>Apr 2027</c:v>
                </c:pt>
                <c:pt idx="7">
                  <c:v>May 2027</c:v>
                </c:pt>
                <c:pt idx="8">
                  <c:v>Jun 2027</c:v>
                </c:pt>
                <c:pt idx="9">
                  <c:v>Jul 2027</c:v>
                </c:pt>
                <c:pt idx="10">
                  <c:v>Aug 2027</c:v>
                </c:pt>
                <c:pt idx="11">
                  <c:v>Sep 2027</c:v>
                </c:pt>
                <c:pt idx="12">
                  <c:v>Oct 2027</c:v>
                </c:pt>
                <c:pt idx="13">
                  <c:v>Nov 2027</c:v>
                </c:pt>
                <c:pt idx="14">
                  <c:v>Dec 2027</c:v>
                </c:pt>
                <c:pt idx="15">
                  <c:v>Jan 2028</c:v>
                </c:pt>
                <c:pt idx="16">
                  <c:v>Feb 2028</c:v>
                </c:pt>
                <c:pt idx="17">
                  <c:v>Mar 2028</c:v>
                </c:pt>
                <c:pt idx="18">
                  <c:v>Apr 2028</c:v>
                </c:pt>
                <c:pt idx="19">
                  <c:v>May 2028</c:v>
                </c:pt>
                <c:pt idx="20">
                  <c:v>Jun 2028</c:v>
                </c:pt>
                <c:pt idx="21">
                  <c:v>Jul 2028</c:v>
                </c:pt>
                <c:pt idx="22">
                  <c:v>Aug 2028</c:v>
                </c:pt>
                <c:pt idx="23">
                  <c:v>Sep 2028</c:v>
                </c:pt>
                <c:pt idx="24">
                  <c:v>Oct 2028</c:v>
                </c:pt>
                <c:pt idx="25">
                  <c:v>Nov 2028</c:v>
                </c:pt>
                <c:pt idx="26">
                  <c:v>Dec 2028</c:v>
                </c:pt>
                <c:pt idx="27">
                  <c:v>Jan 2029</c:v>
                </c:pt>
                <c:pt idx="28">
                  <c:v>Feb 2029</c:v>
                </c:pt>
                <c:pt idx="29">
                  <c:v>Mar 2029</c:v>
                </c:pt>
                <c:pt idx="30">
                  <c:v>Apr 2029</c:v>
                </c:pt>
                <c:pt idx="31">
                  <c:v>May 2029</c:v>
                </c:pt>
                <c:pt idx="32">
                  <c:v>Jun 2029</c:v>
                </c:pt>
                <c:pt idx="33">
                  <c:v>Jul 2029</c:v>
                </c:pt>
                <c:pt idx="34">
                  <c:v>Aug 2029</c:v>
                </c:pt>
                <c:pt idx="35">
                  <c:v>Sep 2029</c:v>
                </c:pt>
                <c:pt idx="36">
                  <c:v>Oct 2029</c:v>
                </c:pt>
                <c:pt idx="37">
                  <c:v>Nov 2029</c:v>
                </c:pt>
                <c:pt idx="38">
                  <c:v>Dec 2029</c:v>
                </c:pt>
                <c:pt idx="39">
                  <c:v>Jan 2030</c:v>
                </c:pt>
                <c:pt idx="40">
                  <c:v>Feb 2030</c:v>
                </c:pt>
                <c:pt idx="41">
                  <c:v>Mar 2030</c:v>
                </c:pt>
                <c:pt idx="42">
                  <c:v>Apr 2030</c:v>
                </c:pt>
                <c:pt idx="43">
                  <c:v>May 2030</c:v>
                </c:pt>
                <c:pt idx="44">
                  <c:v>Jun 2030</c:v>
                </c:pt>
                <c:pt idx="45">
                  <c:v>Jul 2030</c:v>
                </c:pt>
                <c:pt idx="46">
                  <c:v>Aug 2030</c:v>
                </c:pt>
                <c:pt idx="47">
                  <c:v>Sep 2030</c:v>
                </c:pt>
                <c:pt idx="48">
                  <c:v>Oct 2030</c:v>
                </c:pt>
                <c:pt idx="49">
                  <c:v>Nov 2030</c:v>
                </c:pt>
                <c:pt idx="50">
                  <c:v>Dec 2030</c:v>
                </c:pt>
                <c:pt idx="51">
                  <c:v>Jan 2031</c:v>
                </c:pt>
                <c:pt idx="52">
                  <c:v>Feb 2031</c:v>
                </c:pt>
                <c:pt idx="53">
                  <c:v>Mar 2031</c:v>
                </c:pt>
              </c:strCache>
            </c:strRef>
          </c:cat>
          <c:val>
            <c:numRef>
              <c:f>'Cash and funding'!$G$6:$G$59</c:f>
              <c:numCache>
                <c:formatCode>#,##0.00_);\(#,##0.00\)</c:formatCode>
                <c:ptCount val="54"/>
                <c:pt idx="0">
                  <c:v>7.5138873333</c:v>
                </c:pt>
                <c:pt idx="1">
                  <c:v>6.9927929675</c:v>
                </c:pt>
                <c:pt idx="2">
                  <c:v>6.2463067298</c:v>
                </c:pt>
                <c:pt idx="3">
                  <c:v>5.4125156842</c:v>
                </c:pt>
                <c:pt idx="4">
                  <c:v>4.4465769128</c:v>
                </c:pt>
                <c:pt idx="5">
                  <c:v>66.4436474718</c:v>
                </c:pt>
                <c:pt idx="6">
                  <c:v>65.1041455759</c:v>
                </c:pt>
                <c:pt idx="7">
                  <c:v>63.7449449067</c:v>
                </c:pt>
                <c:pt idx="8">
                  <c:v>62.0025267235</c:v>
                </c:pt>
                <c:pt idx="9">
                  <c:v>60.2745327341</c:v>
                </c:pt>
                <c:pt idx="10">
                  <c:v>58.3483893125</c:v>
                </c:pt>
                <c:pt idx="11">
                  <c:v>56.0390534436</c:v>
                </c:pt>
                <c:pt idx="12">
                  <c:v>53.7442695988</c:v>
                </c:pt>
                <c:pt idx="13">
                  <c:v>51.1585598835</c:v>
                </c:pt>
                <c:pt idx="14">
                  <c:v>48.1956753712</c:v>
                </c:pt>
                <c:pt idx="15">
                  <c:v>45.0639739514</c:v>
                </c:pt>
                <c:pt idx="16">
                  <c:v>41.9596623535</c:v>
                </c:pt>
                <c:pt idx="17">
                  <c:v>38.6667663198</c:v>
                </c:pt>
                <c:pt idx="18">
                  <c:v>34.5785845516</c:v>
                </c:pt>
                <c:pt idx="19">
                  <c:v>30.9311657794</c:v>
                </c:pt>
                <c:pt idx="20">
                  <c:v>27.0686797577</c:v>
                </c:pt>
                <c:pt idx="21">
                  <c:v>22.6965290316</c:v>
                </c:pt>
                <c:pt idx="22">
                  <c:v>18.4579816518</c:v>
                </c:pt>
                <c:pt idx="23">
                  <c:v>14.132095655</c:v>
                </c:pt>
                <c:pt idx="24">
                  <c:v>81.0523648916</c:v>
                </c:pt>
                <c:pt idx="25">
                  <c:v>76.2834338434</c:v>
                </c:pt>
                <c:pt idx="26">
                  <c:v>71.3672271186</c:v>
                </c:pt>
                <c:pt idx="27">
                  <c:v>65.5829187581</c:v>
                </c:pt>
                <c:pt idx="28">
                  <c:v>60.4309056027</c:v>
                </c:pt>
                <c:pt idx="29">
                  <c:v>55.2298258027</c:v>
                </c:pt>
                <c:pt idx="30">
                  <c:v>49.2971933777</c:v>
                </c:pt>
                <c:pt idx="31">
                  <c:v>43.9363205036</c:v>
                </c:pt>
                <c:pt idx="32">
                  <c:v>38.5873850271</c:v>
                </c:pt>
                <c:pt idx="33">
                  <c:v>76.9244364363</c:v>
                </c:pt>
                <c:pt idx="34">
                  <c:v>71.2944484524</c:v>
                </c:pt>
                <c:pt idx="35">
                  <c:v>66.4334925841</c:v>
                </c:pt>
                <c:pt idx="36">
                  <c:v>61.0040253504</c:v>
                </c:pt>
                <c:pt idx="37">
                  <c:v>55.8838813016</c:v>
                </c:pt>
                <c:pt idx="38">
                  <c:v>51.4774891394</c:v>
                </c:pt>
                <c:pt idx="39">
                  <c:v>46.2631689038</c:v>
                </c:pt>
                <c:pt idx="40">
                  <c:v>41.9221104794</c:v>
                </c:pt>
                <c:pt idx="41">
                  <c:v>38.4114273594</c:v>
                </c:pt>
                <c:pt idx="42">
                  <c:v>34.2202940422</c:v>
                </c:pt>
                <c:pt idx="43">
                  <c:v>30.8789120924</c:v>
                </c:pt>
                <c:pt idx="44">
                  <c:v>28.4939832038</c:v>
                </c:pt>
                <c:pt idx="45">
                  <c:v>25.1801471564</c:v>
                </c:pt>
                <c:pt idx="46">
                  <c:v>23.9027795845</c:v>
                </c:pt>
                <c:pt idx="47">
                  <c:v>22.579995562</c:v>
                </c:pt>
                <c:pt idx="48">
                  <c:v>21.1720492898</c:v>
                </c:pt>
                <c:pt idx="49">
                  <c:v>21.8759274802</c:v>
                </c:pt>
                <c:pt idx="50">
                  <c:v>22.7234936405</c:v>
                </c:pt>
                <c:pt idx="51">
                  <c:v>23.8540483529</c:v>
                </c:pt>
                <c:pt idx="52">
                  <c:v>26.907836828</c:v>
                </c:pt>
                <c:pt idx="53">
                  <c:v>30.4094963635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917643"/>
        <c:axId val="72084745"/>
      </c:lineChart>
      <c:catAx>
        <c:axId val="739176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84745"/>
        <c:crosses val="autoZero"/>
        <c:auto val="1"/>
        <c:lblAlgn val="ctr"/>
        <c:lblOffset val="100"/>
        <c:noMultiLvlLbl val="0"/>
      </c:catAx>
      <c:valAx>
        <c:axId val="7208474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_);\(#,##0.0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1764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0</xdr:rowOff>
    </xdr:from>
    <xdr:to>
      <xdr:col>7</xdr:col>
      <xdr:colOff>141480</xdr:colOff>
      <xdr:row>59</xdr:row>
      <xdr:rowOff>16560</xdr:rowOff>
    </xdr:to>
    <xdr:graphicFrame>
      <xdr:nvGraphicFramePr>
        <xdr:cNvPr id="0" name="Chart 1"/>
        <xdr:cNvGraphicFramePr/>
      </xdr:nvGraphicFramePr>
      <xdr:xfrm>
        <a:off x="0" y="7743960"/>
        <a:ext cx="89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42</xdr:row>
      <xdr:rowOff>0</xdr:rowOff>
    </xdr:from>
    <xdr:to>
      <xdr:col>8</xdr:col>
      <xdr:colOff>118440</xdr:colOff>
      <xdr:row>64</xdr:row>
      <xdr:rowOff>128520</xdr:rowOff>
    </xdr:to>
    <xdr:graphicFrame>
      <xdr:nvGraphicFramePr>
        <xdr:cNvPr id="1" name="Chart 1"/>
        <xdr:cNvGraphicFramePr/>
      </xdr:nvGraphicFramePr>
      <xdr:xfrm>
        <a:off x="0" y="8524800"/>
        <a:ext cx="89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0</xdr:rowOff>
    </xdr:from>
    <xdr:to>
      <xdr:col>7</xdr:col>
      <xdr:colOff>322560</xdr:colOff>
      <xdr:row>61</xdr:row>
      <xdr:rowOff>149760</xdr:rowOff>
    </xdr:to>
    <xdr:graphicFrame>
      <xdr:nvGraphicFramePr>
        <xdr:cNvPr id="2" name="Chart 1"/>
        <xdr:cNvGraphicFramePr/>
      </xdr:nvGraphicFramePr>
      <xdr:xfrm>
        <a:off x="0" y="83343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77</xdr:row>
      <xdr:rowOff>0</xdr:rowOff>
    </xdr:from>
    <xdr:to>
      <xdr:col>8</xdr:col>
      <xdr:colOff>1777680</xdr:colOff>
      <xdr:row>99</xdr:row>
      <xdr:rowOff>128880</xdr:rowOff>
    </xdr:to>
    <xdr:graphicFrame>
      <xdr:nvGraphicFramePr>
        <xdr:cNvPr id="3" name="Chart 1"/>
        <xdr:cNvGraphicFramePr/>
      </xdr:nvGraphicFramePr>
      <xdr:xfrm>
        <a:off x="0" y="15078240"/>
        <a:ext cx="107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8" min="3" style="0" width="14"/>
    <col collapsed="false" customWidth="true" hidden="false" outlineLevel="0" max="9" min="9" style="0" width="3"/>
  </cols>
  <sheetData>
    <row r="2" customFormat="false" ht="15" hidden="false" customHeight="false" outlineLevel="0" collapsed="false">
      <c r="B2" s="1"/>
      <c r="C2" s="1"/>
      <c r="D2" s="1"/>
      <c r="E2" s="1"/>
      <c r="F2" s="1"/>
      <c r="G2" s="1"/>
      <c r="H2" s="1"/>
    </row>
    <row r="3" customFormat="false" ht="25.5" hidden="false" customHeight="true" outlineLevel="0" collapsed="false">
      <c r="B3" s="2" t="s">
        <v>0</v>
      </c>
      <c r="C3" s="2"/>
      <c r="D3" s="2"/>
      <c r="E3" s="2"/>
      <c r="F3" s="2"/>
      <c r="G3" s="2"/>
      <c r="H3" s="2"/>
    </row>
    <row r="4" customFormat="false" ht="19.5" hidden="false" customHeight="true" outlineLevel="0" collapsed="false">
      <c r="B4" s="2"/>
      <c r="C4" s="2"/>
      <c r="D4" s="2"/>
      <c r="E4" s="2"/>
      <c r="F4" s="2"/>
      <c r="G4" s="2"/>
      <c r="H4" s="2"/>
    </row>
    <row r="5" customFormat="false" ht="33.75" hidden="false" customHeight="true" outlineLevel="0" collapsed="false">
      <c r="B5" s="3" t="s">
        <v>1</v>
      </c>
      <c r="C5" s="3"/>
      <c r="D5" s="3"/>
      <c r="E5" s="3"/>
      <c r="F5" s="3"/>
      <c r="G5" s="3"/>
      <c r="H5" s="3"/>
    </row>
    <row r="6" customFormat="false" ht="7.5" hidden="false" customHeight="true" outlineLevel="0" collapsed="false">
      <c r="B6" s="1"/>
      <c r="C6" s="1"/>
      <c r="D6" s="1"/>
      <c r="E6" s="1"/>
      <c r="F6" s="1"/>
      <c r="G6" s="1"/>
      <c r="H6" s="1"/>
    </row>
    <row r="7" customFormat="false" ht="18" hidden="false" customHeight="true" outlineLevel="0" collapsed="false">
      <c r="B7" s="4" t="s">
        <v>2</v>
      </c>
      <c r="C7" s="4"/>
      <c r="D7" s="4"/>
      <c r="E7" s="4"/>
      <c r="F7" s="4"/>
      <c r="G7" s="4"/>
      <c r="H7" s="4"/>
    </row>
    <row r="8" customFormat="false" ht="7.5" hidden="false" customHeight="true" outlineLevel="0" collapsed="false"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B9" s="5" t="s">
        <v>3</v>
      </c>
      <c r="C9" s="5"/>
      <c r="D9" s="5"/>
      <c r="E9" s="5"/>
      <c r="F9" s="5"/>
      <c r="G9" s="5"/>
      <c r="H9" s="5"/>
    </row>
    <row r="11" customFormat="false" ht="18.75" hidden="false" customHeight="true" outlineLevel="0" collapsed="false">
      <c r="B11" s="6" t="s">
        <v>4</v>
      </c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B12" s="7" t="s">
        <v>5</v>
      </c>
      <c r="C12" s="7" t="s">
        <v>6</v>
      </c>
      <c r="D12" s="7"/>
      <c r="E12" s="7"/>
      <c r="F12" s="7"/>
      <c r="G12" s="7"/>
      <c r="H12" s="7"/>
    </row>
    <row r="13" customFormat="false" ht="15" hidden="false" customHeight="false" outlineLevel="0" collapsed="false">
      <c r="B13" s="8" t="s">
        <v>7</v>
      </c>
      <c r="C13" s="8" t="s">
        <v>8</v>
      </c>
      <c r="D13" s="8"/>
      <c r="E13" s="8"/>
      <c r="F13" s="8"/>
      <c r="G13" s="8"/>
      <c r="H13" s="8"/>
    </row>
    <row r="14" customFormat="false" ht="15" hidden="false" customHeight="false" outlineLevel="0" collapsed="false">
      <c r="B14" s="8" t="s">
        <v>9</v>
      </c>
      <c r="C14" s="8" t="s">
        <v>10</v>
      </c>
      <c r="D14" s="8"/>
      <c r="E14" s="8"/>
      <c r="F14" s="8"/>
      <c r="G14" s="8"/>
      <c r="H14" s="8"/>
    </row>
    <row r="15" customFormat="false" ht="15" hidden="false" customHeight="false" outlineLevel="0" collapsed="false">
      <c r="B15" s="8" t="s">
        <v>11</v>
      </c>
      <c r="C15" s="8" t="s">
        <v>12</v>
      </c>
      <c r="D15" s="8"/>
      <c r="E15" s="8"/>
      <c r="F15" s="8"/>
      <c r="G15" s="8"/>
      <c r="H15" s="8"/>
    </row>
    <row r="16" customFormat="false" ht="15" hidden="false" customHeight="false" outlineLevel="0" collapsed="false">
      <c r="B16" s="8" t="s">
        <v>13</v>
      </c>
      <c r="C16" s="8" t="s">
        <v>14</v>
      </c>
      <c r="D16" s="8"/>
      <c r="E16" s="8"/>
      <c r="F16" s="8"/>
      <c r="G16" s="8"/>
      <c r="H16" s="8"/>
    </row>
    <row r="17" customFormat="false" ht="15" hidden="false" customHeight="false" outlineLevel="0" collapsed="false">
      <c r="B17" s="8" t="s">
        <v>15</v>
      </c>
      <c r="C17" s="9" t="s">
        <v>16</v>
      </c>
      <c r="D17" s="9"/>
      <c r="E17" s="9"/>
      <c r="F17" s="9"/>
      <c r="G17" s="9"/>
      <c r="H17" s="9"/>
    </row>
    <row r="19" customFormat="false" ht="18.75" hidden="false" customHeight="true" outlineLevel="0" collapsed="false">
      <c r="B19" s="6" t="s">
        <v>17</v>
      </c>
      <c r="C19" s="6"/>
      <c r="D19" s="6"/>
      <c r="E19" s="6"/>
      <c r="F19" s="6"/>
      <c r="G19" s="6"/>
      <c r="H19" s="6"/>
    </row>
    <row r="20" customFormat="false" ht="15" hidden="false" customHeight="false" outlineLevel="0" collapsed="false">
      <c r="B20" s="8" t="s">
        <v>18</v>
      </c>
      <c r="C20" s="8" t="s">
        <v>19</v>
      </c>
      <c r="D20" s="8"/>
      <c r="E20" s="8"/>
      <c r="F20" s="8"/>
      <c r="G20" s="8"/>
      <c r="H20" s="8"/>
    </row>
    <row r="21" customFormat="false" ht="15" hidden="false" customHeight="false" outlineLevel="0" collapsed="false">
      <c r="B21" s="8" t="s">
        <v>20</v>
      </c>
      <c r="C21" s="8" t="s">
        <v>21</v>
      </c>
      <c r="D21" s="8"/>
      <c r="E21" s="8"/>
      <c r="F21" s="8"/>
      <c r="G21" s="8"/>
      <c r="H21" s="8"/>
    </row>
    <row r="22" customFormat="false" ht="15" hidden="false" customHeight="false" outlineLevel="0" collapsed="false">
      <c r="B22" s="8" t="s">
        <v>22</v>
      </c>
      <c r="C22" s="8" t="s">
        <v>23</v>
      </c>
      <c r="D22" s="8"/>
      <c r="E22" s="8"/>
      <c r="F22" s="8"/>
      <c r="G22" s="8"/>
      <c r="H22" s="8"/>
    </row>
    <row r="24" customFormat="false" ht="18.75" hidden="false" customHeight="true" outlineLevel="0" collapsed="false">
      <c r="B24" s="6" t="s">
        <v>24</v>
      </c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B25" s="10" t="s">
        <v>25</v>
      </c>
      <c r="C25" s="10"/>
      <c r="D25" s="10"/>
      <c r="E25" s="10"/>
      <c r="F25" s="10"/>
      <c r="G25" s="10"/>
      <c r="H25" s="10"/>
    </row>
    <row r="26" customFormat="false" ht="15" hidden="false" customHeight="false" outlineLevel="0" collapsed="false">
      <c r="B26" s="10" t="s">
        <v>26</v>
      </c>
      <c r="C26" s="10"/>
      <c r="D26" s="10"/>
      <c r="E26" s="10"/>
      <c r="F26" s="10"/>
      <c r="G26" s="10"/>
      <c r="H26" s="10"/>
    </row>
    <row r="27" customFormat="false" ht="15" hidden="false" customHeight="false" outlineLevel="0" collapsed="false">
      <c r="B27" s="10" t="s">
        <v>27</v>
      </c>
      <c r="C27" s="10"/>
      <c r="D27" s="10"/>
      <c r="E27" s="10"/>
      <c r="F27" s="10"/>
      <c r="G27" s="10"/>
      <c r="H27" s="10"/>
    </row>
    <row r="28" customFormat="false" ht="15" hidden="false" customHeight="false" outlineLevel="0" collapsed="false">
      <c r="B28" s="10" t="s">
        <v>28</v>
      </c>
      <c r="C28" s="10"/>
      <c r="D28" s="10"/>
      <c r="E28" s="10"/>
      <c r="F28" s="10"/>
      <c r="G28" s="10"/>
      <c r="H28" s="10"/>
    </row>
    <row r="29" customFormat="false" ht="15" hidden="false" customHeight="false" outlineLevel="0" collapsed="false">
      <c r="B29" s="10" t="s">
        <v>29</v>
      </c>
      <c r="C29" s="10"/>
      <c r="D29" s="10"/>
      <c r="E29" s="10"/>
      <c r="F29" s="10"/>
      <c r="G29" s="10"/>
      <c r="H29" s="10"/>
    </row>
    <row r="30" customFormat="false" ht="15" hidden="false" customHeight="false" outlineLevel="0" collapsed="false">
      <c r="B30" s="10" t="s">
        <v>30</v>
      </c>
      <c r="C30" s="10"/>
      <c r="D30" s="10"/>
      <c r="E30" s="10"/>
      <c r="F30" s="10"/>
      <c r="G30" s="10"/>
      <c r="H30" s="10"/>
    </row>
    <row r="32" customFormat="false" ht="18.75" hidden="false" customHeight="true" outlineLevel="0" collapsed="false">
      <c r="B32" s="6" t="s">
        <v>31</v>
      </c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B33" s="11" t="s">
        <v>32</v>
      </c>
      <c r="C33" s="11" t="s">
        <v>33</v>
      </c>
      <c r="D33" s="11"/>
      <c r="E33" s="11"/>
      <c r="F33" s="11"/>
      <c r="G33" s="11"/>
      <c r="H33" s="11"/>
    </row>
    <row r="34" customFormat="false" ht="15" hidden="false" customHeight="false" outlineLevel="0" collapsed="false">
      <c r="B34" s="12" t="s">
        <v>34</v>
      </c>
      <c r="C34" s="13" t="s">
        <v>35</v>
      </c>
      <c r="D34" s="13"/>
      <c r="E34" s="13"/>
      <c r="F34" s="13"/>
      <c r="G34" s="13"/>
      <c r="H34" s="13"/>
    </row>
    <row r="35" customFormat="false" ht="15" hidden="false" customHeight="false" outlineLevel="0" collapsed="false">
      <c r="B35" s="14" t="s">
        <v>36</v>
      </c>
      <c r="C35" s="10" t="s">
        <v>37</v>
      </c>
      <c r="D35" s="10"/>
      <c r="E35" s="10"/>
      <c r="F35" s="10"/>
      <c r="G35" s="10"/>
      <c r="H35" s="10"/>
    </row>
    <row r="36" customFormat="false" ht="15" hidden="false" customHeight="false" outlineLevel="0" collapsed="false">
      <c r="B36" s="12" t="s">
        <v>38</v>
      </c>
      <c r="C36" s="13" t="s">
        <v>39</v>
      </c>
      <c r="D36" s="13"/>
      <c r="E36" s="13"/>
      <c r="F36" s="13"/>
      <c r="G36" s="13"/>
      <c r="H36" s="13"/>
    </row>
    <row r="37" customFormat="false" ht="15" hidden="false" customHeight="false" outlineLevel="0" collapsed="false">
      <c r="B37" s="14" t="s">
        <v>40</v>
      </c>
      <c r="C37" s="10" t="s">
        <v>41</v>
      </c>
      <c r="D37" s="10"/>
      <c r="E37" s="10"/>
      <c r="F37" s="10"/>
      <c r="G37" s="10"/>
      <c r="H37" s="10"/>
    </row>
    <row r="38" customFormat="false" ht="15" hidden="false" customHeight="false" outlineLevel="0" collapsed="false">
      <c r="B38" s="12" t="s">
        <v>42</v>
      </c>
      <c r="C38" s="13" t="s">
        <v>43</v>
      </c>
      <c r="D38" s="13"/>
      <c r="E38" s="13"/>
      <c r="F38" s="13"/>
      <c r="G38" s="13"/>
      <c r="H38" s="13"/>
    </row>
    <row r="39" customFormat="false" ht="15" hidden="false" customHeight="false" outlineLevel="0" collapsed="false">
      <c r="B39" s="14" t="s">
        <v>44</v>
      </c>
      <c r="C39" s="10" t="s">
        <v>45</v>
      </c>
      <c r="D39" s="10"/>
      <c r="E39" s="10"/>
      <c r="F39" s="10"/>
      <c r="G39" s="10"/>
      <c r="H39" s="10"/>
    </row>
    <row r="40" customFormat="false" ht="15" hidden="false" customHeight="false" outlineLevel="0" collapsed="false">
      <c r="B40" s="12" t="s">
        <v>46</v>
      </c>
      <c r="C40" s="13" t="s">
        <v>47</v>
      </c>
      <c r="D40" s="13"/>
      <c r="E40" s="13"/>
      <c r="F40" s="13"/>
      <c r="G40" s="13"/>
      <c r="H40" s="13"/>
    </row>
    <row r="41" customFormat="false" ht="15" hidden="false" customHeight="false" outlineLevel="0" collapsed="false">
      <c r="B41" s="14" t="s">
        <v>48</v>
      </c>
      <c r="C41" s="10" t="s">
        <v>49</v>
      </c>
      <c r="D41" s="10"/>
      <c r="E41" s="10"/>
      <c r="F41" s="10"/>
      <c r="G41" s="10"/>
      <c r="H41" s="10"/>
    </row>
    <row r="42" customFormat="false" ht="15" hidden="false" customHeight="false" outlineLevel="0" collapsed="false">
      <c r="B42" s="12" t="s">
        <v>50</v>
      </c>
      <c r="C42" s="13" t="s">
        <v>51</v>
      </c>
      <c r="D42" s="13"/>
      <c r="E42" s="13"/>
      <c r="F42" s="13"/>
      <c r="G42" s="13"/>
      <c r="H42" s="13"/>
    </row>
    <row r="43" customFormat="false" ht="15" hidden="false" customHeight="false" outlineLevel="0" collapsed="false">
      <c r="B43" s="14" t="s">
        <v>52</v>
      </c>
      <c r="C43" s="10" t="s">
        <v>53</v>
      </c>
      <c r="D43" s="10"/>
      <c r="E43" s="10"/>
      <c r="F43" s="10"/>
      <c r="G43" s="10"/>
      <c r="H43" s="10"/>
    </row>
    <row r="44" customFormat="false" ht="15" hidden="false" customHeight="false" outlineLevel="0" collapsed="false">
      <c r="B44" s="12" t="s">
        <v>54</v>
      </c>
      <c r="C44" s="13" t="s">
        <v>55</v>
      </c>
      <c r="D44" s="13"/>
      <c r="E44" s="13"/>
      <c r="F44" s="13"/>
      <c r="G44" s="13"/>
      <c r="H44" s="13"/>
    </row>
    <row r="45" customFormat="false" ht="15" hidden="false" customHeight="false" outlineLevel="0" collapsed="false">
      <c r="B45" s="14" t="s">
        <v>56</v>
      </c>
      <c r="C45" s="10" t="s">
        <v>57</v>
      </c>
      <c r="D45" s="10"/>
      <c r="E45" s="10"/>
      <c r="F45" s="10"/>
      <c r="G45" s="10"/>
      <c r="H45" s="10"/>
    </row>
    <row r="47" customFormat="false" ht="15" hidden="false" customHeight="false" outlineLevel="0" collapsed="false">
      <c r="B47" s="15" t="s">
        <v>58</v>
      </c>
      <c r="C47" s="15"/>
      <c r="D47" s="15"/>
      <c r="E47" s="15"/>
      <c r="F47" s="15"/>
      <c r="G47" s="15"/>
      <c r="H47" s="15"/>
    </row>
    <row r="49" customFormat="false" ht="39.75" hidden="false" customHeight="true" outlineLevel="0" collapsed="false">
      <c r="B49" s="16" t="s">
        <v>59</v>
      </c>
      <c r="C49" s="16"/>
      <c r="D49" s="16"/>
      <c r="E49" s="16"/>
      <c r="F49" s="16"/>
      <c r="G49" s="16"/>
      <c r="H49" s="16"/>
    </row>
    <row r="51" customFormat="false" ht="15" hidden="false" customHeight="false" outlineLevel="0" collapsed="false">
      <c r="B51" s="17" t="s">
        <v>60</v>
      </c>
      <c r="C51" s="17" t="s">
        <v>33</v>
      </c>
      <c r="D51" s="17"/>
      <c r="E51" s="17"/>
      <c r="F51" s="17"/>
      <c r="G51" s="17"/>
      <c r="H51" s="17"/>
    </row>
    <row r="52" customFormat="false" ht="15" hidden="false" customHeight="false" outlineLevel="0" collapsed="false">
      <c r="B52" s="18" t="s">
        <v>61</v>
      </c>
      <c r="C52" s="19" t="s">
        <v>62</v>
      </c>
      <c r="D52" s="19"/>
      <c r="E52" s="19"/>
      <c r="F52" s="19"/>
      <c r="G52" s="19"/>
      <c r="H52" s="19"/>
    </row>
    <row r="53" customFormat="false" ht="15" hidden="false" customHeight="false" outlineLevel="0" collapsed="false">
      <c r="B53" s="18" t="s">
        <v>63</v>
      </c>
      <c r="C53" s="19" t="s">
        <v>64</v>
      </c>
      <c r="D53" s="19"/>
      <c r="E53" s="19"/>
      <c r="F53" s="19"/>
      <c r="G53" s="19"/>
      <c r="H53" s="19"/>
    </row>
    <row r="54" customFormat="false" ht="15" hidden="false" customHeight="false" outlineLevel="0" collapsed="false">
      <c r="B54" s="18" t="s">
        <v>65</v>
      </c>
      <c r="C54" s="19" t="s">
        <v>66</v>
      </c>
      <c r="D54" s="19"/>
      <c r="E54" s="19"/>
      <c r="F54" s="19"/>
      <c r="G54" s="19"/>
      <c r="H54" s="19"/>
    </row>
  </sheetData>
  <mergeCells count="42">
    <mergeCell ref="B3:H4"/>
    <mergeCell ref="B5:H5"/>
    <mergeCell ref="B7:H7"/>
    <mergeCell ref="B9:H9"/>
    <mergeCell ref="B11:H11"/>
    <mergeCell ref="C12:H12"/>
    <mergeCell ref="C13:H13"/>
    <mergeCell ref="C14:H14"/>
    <mergeCell ref="C15:H15"/>
    <mergeCell ref="C16:H16"/>
    <mergeCell ref="C17:H17"/>
    <mergeCell ref="B19:H19"/>
    <mergeCell ref="C20:H20"/>
    <mergeCell ref="C21:H21"/>
    <mergeCell ref="C22:H22"/>
    <mergeCell ref="B24:H24"/>
    <mergeCell ref="B25:H25"/>
    <mergeCell ref="B26:H26"/>
    <mergeCell ref="B27:H27"/>
    <mergeCell ref="B28:H28"/>
    <mergeCell ref="B29:H29"/>
    <mergeCell ref="B30:H30"/>
    <mergeCell ref="B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B47:H47"/>
    <mergeCell ref="B49:H49"/>
    <mergeCell ref="C51:H51"/>
    <mergeCell ref="C52:H52"/>
    <mergeCell ref="C53:H53"/>
    <mergeCell ref="C54:H54"/>
  </mergeCells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2" min="2" style="0" width="13"/>
  </cols>
  <sheetData>
    <row r="1" customFormat="false" ht="30" hidden="false" customHeight="true" outlineLevel="0" collapsed="false">
      <c r="A1" s="20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customFormat="false" ht="15.75" hidden="false" customHeight="true" outlineLevel="0" collapsed="false">
      <c r="A2" s="21" t="s">
        <v>68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13.5" hidden="false" customHeight="true" outlineLevel="0" collapsed="false">
      <c r="A3" s="22" t="s">
        <v>69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5" customFormat="false" ht="18.75" hidden="false" customHeight="true" outlineLevel="0" collapsed="false">
      <c r="A5" s="23" t="s">
        <v>70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customFormat="false" ht="16.5" hidden="false" customHeight="true" outlineLevel="0" collapsed="false">
      <c r="A6" s="11" t="s">
        <v>71</v>
      </c>
      <c r="B6" s="24" t="s">
        <v>72</v>
      </c>
      <c r="C6" s="24" t="s">
        <v>73</v>
      </c>
    </row>
    <row r="7" customFormat="false" ht="15" hidden="false" customHeight="false" outlineLevel="0" collapsed="false">
      <c r="A7" s="25" t="s">
        <v>74</v>
      </c>
      <c r="B7" s="26" t="n">
        <v>180000</v>
      </c>
      <c r="C7" s="27" t="s">
        <v>75</v>
      </c>
    </row>
    <row r="8" customFormat="false" ht="15" hidden="false" customHeight="false" outlineLevel="0" collapsed="false">
      <c r="A8" s="28" t="s">
        <v>76</v>
      </c>
      <c r="B8" s="29" t="n">
        <v>600000</v>
      </c>
      <c r="C8" s="30" t="s">
        <v>75</v>
      </c>
    </row>
    <row r="9" customFormat="false" ht="15" hidden="false" customHeight="false" outlineLevel="0" collapsed="false">
      <c r="A9" s="25" t="s">
        <v>77</v>
      </c>
      <c r="B9" s="26" t="n">
        <v>2400000</v>
      </c>
      <c r="C9" s="27" t="s">
        <v>75</v>
      </c>
    </row>
    <row r="10" customFormat="false" ht="15" hidden="false" customHeight="false" outlineLevel="0" collapsed="false">
      <c r="A10" s="28" t="s">
        <v>78</v>
      </c>
      <c r="B10" s="29" t="n">
        <v>12000000</v>
      </c>
      <c r="C10" s="30" t="s">
        <v>79</v>
      </c>
    </row>
    <row r="11" customFormat="false" ht="15" hidden="false" customHeight="false" outlineLevel="0" collapsed="false">
      <c r="A11" s="25" t="s">
        <v>80</v>
      </c>
      <c r="B11" s="26" t="n">
        <v>480000</v>
      </c>
      <c r="C11" s="27" t="s">
        <v>81</v>
      </c>
    </row>
    <row r="12" customFormat="false" ht="15" hidden="false" customHeight="false" outlineLevel="0" collapsed="false">
      <c r="A12" s="28" t="s">
        <v>82</v>
      </c>
      <c r="B12" s="29" t="n">
        <v>1500000</v>
      </c>
      <c r="C12" s="30" t="s">
        <v>81</v>
      </c>
    </row>
    <row r="13" customFormat="false" ht="15" hidden="false" customHeight="false" outlineLevel="0" collapsed="false">
      <c r="A13" s="25" t="s">
        <v>83</v>
      </c>
      <c r="B13" s="26" t="n">
        <v>4200000</v>
      </c>
      <c r="C13" s="27" t="s">
        <v>81</v>
      </c>
    </row>
    <row r="14" customFormat="false" ht="15" hidden="false" customHeight="false" outlineLevel="0" collapsed="false">
      <c r="A14" s="28" t="s">
        <v>84</v>
      </c>
      <c r="B14" s="31" t="n">
        <v>1.6</v>
      </c>
      <c r="C14" s="30" t="s">
        <v>85</v>
      </c>
    </row>
    <row r="15" customFormat="false" ht="15" hidden="false" customHeight="false" outlineLevel="0" collapsed="false">
      <c r="A15" s="25" t="s">
        <v>86</v>
      </c>
      <c r="B15" s="32" t="n">
        <v>1.2</v>
      </c>
      <c r="C15" s="27" t="s">
        <v>85</v>
      </c>
    </row>
    <row r="16" customFormat="false" ht="15" hidden="false" customHeight="false" outlineLevel="0" collapsed="false">
      <c r="A16" s="28" t="s">
        <v>87</v>
      </c>
      <c r="B16" s="31" t="n">
        <v>0.9</v>
      </c>
      <c r="C16" s="30" t="s">
        <v>85</v>
      </c>
    </row>
    <row r="17" customFormat="false" ht="15" hidden="false" customHeight="false" outlineLevel="0" collapsed="false">
      <c r="A17" s="25" t="s">
        <v>88</v>
      </c>
      <c r="B17" s="32" t="n">
        <v>0.55</v>
      </c>
      <c r="C17" s="27" t="s">
        <v>85</v>
      </c>
    </row>
    <row r="18" customFormat="false" ht="15" hidden="false" customHeight="false" outlineLevel="0" collapsed="false">
      <c r="A18" s="28" t="s">
        <v>89</v>
      </c>
      <c r="B18" s="31" t="n">
        <v>0.4</v>
      </c>
      <c r="C18" s="30" t="s">
        <v>85</v>
      </c>
    </row>
    <row r="19" customFormat="false" ht="15" hidden="false" customHeight="false" outlineLevel="0" collapsed="false">
      <c r="A19" s="25" t="s">
        <v>90</v>
      </c>
      <c r="B19" s="26" t="n">
        <v>135000</v>
      </c>
      <c r="C19" s="27" t="s">
        <v>75</v>
      </c>
    </row>
    <row r="20" customFormat="false" ht="15" hidden="false" customHeight="false" outlineLevel="0" collapsed="false">
      <c r="A20" s="28" t="s">
        <v>91</v>
      </c>
      <c r="B20" s="29" t="n">
        <v>2500</v>
      </c>
      <c r="C20" s="30" t="s">
        <v>92</v>
      </c>
    </row>
    <row r="21" customFormat="false" ht="15" hidden="false" customHeight="false" outlineLevel="0" collapsed="false">
      <c r="A21" s="25" t="s">
        <v>93</v>
      </c>
      <c r="B21" s="26" t="n">
        <v>300000</v>
      </c>
      <c r="C21" s="27" t="s">
        <v>94</v>
      </c>
    </row>
    <row r="22" customFormat="false" ht="15" hidden="false" customHeight="false" outlineLevel="0" collapsed="false">
      <c r="A22" s="28" t="s">
        <v>95</v>
      </c>
      <c r="B22" s="29" t="n">
        <v>45000</v>
      </c>
      <c r="C22" s="30" t="s">
        <v>96</v>
      </c>
    </row>
    <row r="23" customFormat="false" ht="15" hidden="false" customHeight="false" outlineLevel="0" collapsed="false">
      <c r="A23" s="25" t="s">
        <v>97</v>
      </c>
      <c r="B23" s="26" t="n">
        <v>150000</v>
      </c>
      <c r="C23" s="27" t="s">
        <v>98</v>
      </c>
    </row>
    <row r="24" customFormat="false" ht="15" hidden="false" customHeight="false" outlineLevel="0" collapsed="false">
      <c r="A24" s="15" t="s">
        <v>99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customFormat="false" ht="15" hidden="false" customHeight="false" outlineLevel="0" collapsed="false">
      <c r="A25" s="15" t="s">
        <v>100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7" customFormat="false" ht="18.75" hidden="false" customHeight="true" outlineLevel="0" collapsed="false">
      <c r="A27" s="23" t="s">
        <v>101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customFormat="false" ht="27.75" hidden="false" customHeight="true" outlineLevel="0" collapsed="false">
      <c r="A28" s="11" t="s">
        <v>102</v>
      </c>
      <c r="B28" s="33" t="s">
        <v>103</v>
      </c>
      <c r="C28" s="33" t="s">
        <v>104</v>
      </c>
      <c r="D28" s="33" t="s">
        <v>105</v>
      </c>
      <c r="E28" s="33" t="s">
        <v>106</v>
      </c>
      <c r="F28" s="33" t="s">
        <v>107</v>
      </c>
      <c r="G28" s="33" t="s">
        <v>108</v>
      </c>
      <c r="H28" s="33" t="s">
        <v>109</v>
      </c>
      <c r="I28" s="33" t="s">
        <v>110</v>
      </c>
      <c r="J28" s="33" t="s">
        <v>111</v>
      </c>
      <c r="K28" s="33" t="s">
        <v>112</v>
      </c>
    </row>
    <row r="29" customFormat="false" ht="15" hidden="false" customHeight="false" outlineLevel="0" collapsed="false">
      <c r="A29" s="25" t="s">
        <v>113</v>
      </c>
      <c r="B29" s="26" t="n">
        <v>0</v>
      </c>
      <c r="C29" s="34" t="n">
        <v>0</v>
      </c>
      <c r="D29" s="34" t="n">
        <v>0</v>
      </c>
      <c r="E29" s="34" t="n">
        <v>0</v>
      </c>
      <c r="F29" s="26" t="n">
        <v>0</v>
      </c>
      <c r="G29" s="26" t="n">
        <v>0</v>
      </c>
      <c r="H29" s="26" t="n">
        <v>0</v>
      </c>
      <c r="I29" s="32" t="n">
        <v>0</v>
      </c>
      <c r="J29" s="35" t="n">
        <v>0</v>
      </c>
      <c r="K29" s="32" t="n">
        <v>0.092</v>
      </c>
    </row>
    <row r="30" customFormat="false" ht="15" hidden="false" customHeight="false" outlineLevel="0" collapsed="false">
      <c r="A30" s="28" t="s">
        <v>114</v>
      </c>
      <c r="B30" s="29" t="n">
        <v>0</v>
      </c>
      <c r="C30" s="36" t="n">
        <v>0</v>
      </c>
      <c r="D30" s="36" t="n">
        <v>0</v>
      </c>
      <c r="E30" s="36" t="n">
        <v>0</v>
      </c>
      <c r="F30" s="29" t="n">
        <v>0</v>
      </c>
      <c r="G30" s="29" t="n">
        <v>0</v>
      </c>
      <c r="H30" s="29" t="n">
        <v>0</v>
      </c>
      <c r="I30" s="31" t="n">
        <v>0</v>
      </c>
      <c r="J30" s="37" t="n">
        <v>0</v>
      </c>
      <c r="K30" s="31" t="n">
        <v>0.09076</v>
      </c>
    </row>
    <row r="31" customFormat="false" ht="15" hidden="false" customHeight="false" outlineLevel="0" collapsed="false">
      <c r="A31" s="25" t="s">
        <v>115</v>
      </c>
      <c r="B31" s="26" t="n">
        <v>0</v>
      </c>
      <c r="C31" s="34" t="n">
        <v>0</v>
      </c>
      <c r="D31" s="34" t="n">
        <v>0</v>
      </c>
      <c r="E31" s="34" t="n">
        <v>0</v>
      </c>
      <c r="F31" s="26" t="n">
        <v>0</v>
      </c>
      <c r="G31" s="26" t="n">
        <v>0</v>
      </c>
      <c r="H31" s="26" t="n">
        <v>0</v>
      </c>
      <c r="I31" s="32" t="n">
        <v>0</v>
      </c>
      <c r="J31" s="35" t="n">
        <v>0</v>
      </c>
      <c r="K31" s="32" t="n">
        <v>0.08953</v>
      </c>
    </row>
    <row r="32" customFormat="false" ht="15" hidden="false" customHeight="false" outlineLevel="0" collapsed="false">
      <c r="A32" s="28" t="s">
        <v>116</v>
      </c>
      <c r="B32" s="29" t="n">
        <v>0</v>
      </c>
      <c r="C32" s="36" t="n">
        <v>0</v>
      </c>
      <c r="D32" s="36" t="n">
        <v>0</v>
      </c>
      <c r="E32" s="36" t="n">
        <v>0</v>
      </c>
      <c r="F32" s="29" t="n">
        <v>0</v>
      </c>
      <c r="G32" s="29" t="n">
        <v>0</v>
      </c>
      <c r="H32" s="29" t="n">
        <v>60000</v>
      </c>
      <c r="I32" s="31" t="n">
        <v>0</v>
      </c>
      <c r="J32" s="37" t="n">
        <v>0</v>
      </c>
      <c r="K32" s="31" t="n">
        <v>0.08832</v>
      </c>
    </row>
    <row r="33" customFormat="false" ht="15" hidden="false" customHeight="false" outlineLevel="0" collapsed="false">
      <c r="A33" s="25" t="s">
        <v>117</v>
      </c>
      <c r="B33" s="26" t="n">
        <v>0</v>
      </c>
      <c r="C33" s="34" t="n">
        <v>0</v>
      </c>
      <c r="D33" s="34" t="n">
        <v>0</v>
      </c>
      <c r="E33" s="34" t="n">
        <v>0</v>
      </c>
      <c r="F33" s="26" t="n">
        <v>0</v>
      </c>
      <c r="G33" s="26" t="n">
        <v>0</v>
      </c>
      <c r="H33" s="26" t="n">
        <v>120000</v>
      </c>
      <c r="I33" s="32" t="n">
        <v>0</v>
      </c>
      <c r="J33" s="35" t="n">
        <v>0</v>
      </c>
      <c r="K33" s="32" t="n">
        <v>0.08713</v>
      </c>
    </row>
    <row r="34" customFormat="false" ht="15" hidden="false" customHeight="false" outlineLevel="0" collapsed="false">
      <c r="A34" s="28" t="s">
        <v>118</v>
      </c>
      <c r="B34" s="29" t="n">
        <v>0</v>
      </c>
      <c r="C34" s="36" t="n">
        <v>0</v>
      </c>
      <c r="D34" s="36" t="n">
        <v>0</v>
      </c>
      <c r="E34" s="36" t="n">
        <v>0</v>
      </c>
      <c r="F34" s="29" t="n">
        <v>0</v>
      </c>
      <c r="G34" s="29" t="n">
        <v>0</v>
      </c>
      <c r="H34" s="29" t="n">
        <v>180000</v>
      </c>
      <c r="I34" s="31" t="n">
        <v>0</v>
      </c>
      <c r="J34" s="37" t="n">
        <v>0</v>
      </c>
      <c r="K34" s="31" t="n">
        <v>0.08596</v>
      </c>
    </row>
    <row r="35" customFormat="false" ht="15" hidden="false" customHeight="false" outlineLevel="0" collapsed="false">
      <c r="A35" s="25" t="s">
        <v>119</v>
      </c>
      <c r="B35" s="26" t="n">
        <v>0</v>
      </c>
      <c r="C35" s="34" t="n">
        <v>0</v>
      </c>
      <c r="D35" s="34" t="n">
        <v>0</v>
      </c>
      <c r="E35" s="34" t="n">
        <v>0</v>
      </c>
      <c r="F35" s="26" t="n">
        <v>0</v>
      </c>
      <c r="G35" s="26" t="n">
        <v>0</v>
      </c>
      <c r="H35" s="26" t="n">
        <v>260000</v>
      </c>
      <c r="I35" s="32" t="n">
        <v>0</v>
      </c>
      <c r="J35" s="35" t="n">
        <v>0</v>
      </c>
      <c r="K35" s="32" t="n">
        <v>0.0848</v>
      </c>
    </row>
    <row r="36" customFormat="false" ht="15" hidden="false" customHeight="false" outlineLevel="0" collapsed="false">
      <c r="A36" s="28" t="s">
        <v>120</v>
      </c>
      <c r="B36" s="29" t="n">
        <v>0</v>
      </c>
      <c r="C36" s="36" t="n">
        <v>0</v>
      </c>
      <c r="D36" s="36" t="n">
        <v>0</v>
      </c>
      <c r="E36" s="36" t="n">
        <v>0</v>
      </c>
      <c r="F36" s="29" t="n">
        <v>0</v>
      </c>
      <c r="G36" s="29" t="n">
        <v>0</v>
      </c>
      <c r="H36" s="29" t="n">
        <v>340000</v>
      </c>
      <c r="I36" s="31" t="n">
        <v>0</v>
      </c>
      <c r="J36" s="37" t="n">
        <v>0</v>
      </c>
      <c r="K36" s="31" t="n">
        <v>0.08365</v>
      </c>
    </row>
    <row r="37" customFormat="false" ht="15" hidden="false" customHeight="false" outlineLevel="0" collapsed="false">
      <c r="A37" s="25" t="s">
        <v>121</v>
      </c>
      <c r="B37" s="26" t="n">
        <v>0</v>
      </c>
      <c r="C37" s="34" t="n">
        <v>0</v>
      </c>
      <c r="D37" s="34" t="n">
        <v>0</v>
      </c>
      <c r="E37" s="34" t="n">
        <v>0</v>
      </c>
      <c r="F37" s="26" t="n">
        <v>0</v>
      </c>
      <c r="G37" s="26" t="n">
        <v>0</v>
      </c>
      <c r="H37" s="26" t="n">
        <v>420000</v>
      </c>
      <c r="I37" s="32" t="n">
        <v>0</v>
      </c>
      <c r="J37" s="35" t="n">
        <v>0</v>
      </c>
      <c r="K37" s="32" t="n">
        <v>0.08252</v>
      </c>
    </row>
    <row r="38" customFormat="false" ht="15" hidden="false" customHeight="false" outlineLevel="0" collapsed="false">
      <c r="A38" s="28" t="s">
        <v>122</v>
      </c>
      <c r="B38" s="29" t="n">
        <v>3</v>
      </c>
      <c r="C38" s="36" t="n">
        <v>3</v>
      </c>
      <c r="D38" s="36" t="n">
        <v>0</v>
      </c>
      <c r="E38" s="36" t="n">
        <v>0</v>
      </c>
      <c r="F38" s="29" t="n">
        <v>0</v>
      </c>
      <c r="G38" s="29" t="n">
        <v>0</v>
      </c>
      <c r="H38" s="29" t="n">
        <v>580000</v>
      </c>
      <c r="I38" s="31" t="n">
        <v>0</v>
      </c>
      <c r="J38" s="37" t="n">
        <v>0</v>
      </c>
      <c r="K38" s="31" t="n">
        <v>0.08141</v>
      </c>
    </row>
    <row r="39" customFormat="false" ht="15" hidden="false" customHeight="false" outlineLevel="0" collapsed="false">
      <c r="A39" s="25" t="s">
        <v>123</v>
      </c>
      <c r="B39" s="26" t="n">
        <v>6</v>
      </c>
      <c r="C39" s="34" t="n">
        <v>6</v>
      </c>
      <c r="D39" s="34" t="n">
        <v>0</v>
      </c>
      <c r="E39" s="34" t="n">
        <v>0</v>
      </c>
      <c r="F39" s="26" t="n">
        <v>0</v>
      </c>
      <c r="G39" s="26" t="n">
        <v>0</v>
      </c>
      <c r="H39" s="26" t="n">
        <v>740000</v>
      </c>
      <c r="I39" s="32" t="n">
        <v>0</v>
      </c>
      <c r="J39" s="35" t="n">
        <v>0</v>
      </c>
      <c r="K39" s="32" t="n">
        <v>0.08031</v>
      </c>
    </row>
    <row r="40" customFormat="false" ht="15" hidden="false" customHeight="false" outlineLevel="0" collapsed="false">
      <c r="A40" s="28" t="s">
        <v>124</v>
      </c>
      <c r="B40" s="29" t="n">
        <v>9</v>
      </c>
      <c r="C40" s="36" t="n">
        <v>9</v>
      </c>
      <c r="D40" s="36" t="n">
        <v>0</v>
      </c>
      <c r="E40" s="36" t="n">
        <v>0</v>
      </c>
      <c r="F40" s="29" t="n">
        <v>0</v>
      </c>
      <c r="G40" s="29" t="n">
        <v>0</v>
      </c>
      <c r="H40" s="29" t="n">
        <v>900000</v>
      </c>
      <c r="I40" s="31" t="n">
        <v>0</v>
      </c>
      <c r="J40" s="37" t="n">
        <v>0</v>
      </c>
      <c r="K40" s="31" t="n">
        <v>0.07922</v>
      </c>
    </row>
    <row r="41" customFormat="false" ht="15" hidden="false" customHeight="false" outlineLevel="0" collapsed="false">
      <c r="A41" s="25" t="s">
        <v>125</v>
      </c>
      <c r="B41" s="26" t="n">
        <v>13</v>
      </c>
      <c r="C41" s="34" t="n">
        <v>13</v>
      </c>
      <c r="D41" s="34" t="n">
        <v>0</v>
      </c>
      <c r="E41" s="34" t="n">
        <v>0</v>
      </c>
      <c r="F41" s="26" t="n">
        <v>0</v>
      </c>
      <c r="G41" s="26" t="n">
        <v>0</v>
      </c>
      <c r="H41" s="26" t="n">
        <v>1100000</v>
      </c>
      <c r="I41" s="32" t="n">
        <v>0.22</v>
      </c>
      <c r="J41" s="35" t="n">
        <v>0</v>
      </c>
      <c r="K41" s="32" t="n">
        <v>0.07815</v>
      </c>
    </row>
    <row r="42" customFormat="false" ht="15" hidden="false" customHeight="false" outlineLevel="0" collapsed="false">
      <c r="A42" s="28" t="s">
        <v>126</v>
      </c>
      <c r="B42" s="29" t="n">
        <v>17</v>
      </c>
      <c r="C42" s="36" t="n">
        <v>17</v>
      </c>
      <c r="D42" s="36" t="n">
        <v>0</v>
      </c>
      <c r="E42" s="36" t="n">
        <v>0</v>
      </c>
      <c r="F42" s="29" t="n">
        <v>0</v>
      </c>
      <c r="G42" s="29" t="n">
        <v>0</v>
      </c>
      <c r="H42" s="29" t="n">
        <v>1300000</v>
      </c>
      <c r="I42" s="31" t="n">
        <v>0.256</v>
      </c>
      <c r="J42" s="37" t="n">
        <v>0</v>
      </c>
      <c r="K42" s="31" t="n">
        <v>0.0771</v>
      </c>
    </row>
    <row r="43" customFormat="false" ht="15" hidden="false" customHeight="false" outlineLevel="0" collapsed="false">
      <c r="A43" s="25" t="s">
        <v>127</v>
      </c>
      <c r="B43" s="26" t="n">
        <v>21</v>
      </c>
      <c r="C43" s="34" t="n">
        <v>21</v>
      </c>
      <c r="D43" s="34" t="n">
        <v>0</v>
      </c>
      <c r="E43" s="34" t="n">
        <v>0</v>
      </c>
      <c r="F43" s="26" t="n">
        <v>0</v>
      </c>
      <c r="G43" s="26" t="n">
        <v>2</v>
      </c>
      <c r="H43" s="26" t="n">
        <v>1500000</v>
      </c>
      <c r="I43" s="32" t="n">
        <v>0.292</v>
      </c>
      <c r="J43" s="35" t="n">
        <v>0.02</v>
      </c>
      <c r="K43" s="32" t="n">
        <v>0.07606</v>
      </c>
    </row>
    <row r="44" customFormat="false" ht="15" hidden="false" customHeight="false" outlineLevel="0" collapsed="false">
      <c r="A44" s="28" t="s">
        <v>128</v>
      </c>
      <c r="B44" s="29" t="n">
        <v>27</v>
      </c>
      <c r="C44" s="36" t="n">
        <v>27</v>
      </c>
      <c r="D44" s="36" t="n">
        <v>0</v>
      </c>
      <c r="E44" s="36" t="n">
        <v>0</v>
      </c>
      <c r="F44" s="29" t="n">
        <v>0</v>
      </c>
      <c r="G44" s="29" t="n">
        <v>3</v>
      </c>
      <c r="H44" s="29" t="n">
        <v>1733333</v>
      </c>
      <c r="I44" s="31" t="n">
        <v>0.328</v>
      </c>
      <c r="J44" s="37" t="n">
        <v>0.04</v>
      </c>
      <c r="K44" s="31" t="n">
        <v>0.07503</v>
      </c>
    </row>
    <row r="45" customFormat="false" ht="15" hidden="false" customHeight="false" outlineLevel="0" collapsed="false">
      <c r="A45" s="25" t="s">
        <v>129</v>
      </c>
      <c r="B45" s="26" t="n">
        <v>33</v>
      </c>
      <c r="C45" s="34" t="n">
        <v>33</v>
      </c>
      <c r="D45" s="34" t="n">
        <v>0</v>
      </c>
      <c r="E45" s="34" t="n">
        <v>0</v>
      </c>
      <c r="F45" s="26" t="n">
        <v>0</v>
      </c>
      <c r="G45" s="26" t="n">
        <v>5</v>
      </c>
      <c r="H45" s="26" t="n">
        <v>1966667</v>
      </c>
      <c r="I45" s="32" t="n">
        <v>0.364</v>
      </c>
      <c r="J45" s="35" t="n">
        <v>0.06</v>
      </c>
      <c r="K45" s="32" t="n">
        <v>0.07402</v>
      </c>
    </row>
    <row r="46" customFormat="false" ht="15" hidden="false" customHeight="false" outlineLevel="0" collapsed="false">
      <c r="A46" s="28" t="s">
        <v>130</v>
      </c>
      <c r="B46" s="29" t="n">
        <v>39</v>
      </c>
      <c r="C46" s="36" t="n">
        <v>39</v>
      </c>
      <c r="D46" s="36" t="n">
        <v>0</v>
      </c>
      <c r="E46" s="36" t="n">
        <v>0</v>
      </c>
      <c r="F46" s="29" t="n">
        <v>0</v>
      </c>
      <c r="G46" s="29" t="n">
        <v>6</v>
      </c>
      <c r="H46" s="29" t="n">
        <v>2200000</v>
      </c>
      <c r="I46" s="31" t="n">
        <v>0.4</v>
      </c>
      <c r="J46" s="37" t="n">
        <v>0.08</v>
      </c>
      <c r="K46" s="31" t="n">
        <v>0.07302</v>
      </c>
    </row>
    <row r="47" customFormat="false" ht="15" hidden="false" customHeight="false" outlineLevel="0" collapsed="false">
      <c r="A47" s="25" t="s">
        <v>131</v>
      </c>
      <c r="B47" s="26" t="n">
        <v>46</v>
      </c>
      <c r="C47" s="34" t="n">
        <v>43.24</v>
      </c>
      <c r="D47" s="34" t="n">
        <v>2.76</v>
      </c>
      <c r="E47" s="34" t="n">
        <v>0</v>
      </c>
      <c r="F47" s="26" t="n">
        <v>0</v>
      </c>
      <c r="G47" s="26" t="n">
        <v>8</v>
      </c>
      <c r="H47" s="26" t="n">
        <v>2516667</v>
      </c>
      <c r="I47" s="32" t="n">
        <v>0.437</v>
      </c>
      <c r="J47" s="35" t="n">
        <v>0.097</v>
      </c>
      <c r="K47" s="32" t="n">
        <v>0.07203</v>
      </c>
    </row>
    <row r="48" customFormat="false" ht="15" hidden="false" customHeight="false" outlineLevel="0" collapsed="false">
      <c r="A48" s="28" t="s">
        <v>132</v>
      </c>
      <c r="B48" s="29" t="n">
        <v>52</v>
      </c>
      <c r="C48" s="36" t="n">
        <v>47.93</v>
      </c>
      <c r="D48" s="36" t="n">
        <v>4.07</v>
      </c>
      <c r="E48" s="36" t="n">
        <v>0</v>
      </c>
      <c r="F48" s="29" t="n">
        <v>0</v>
      </c>
      <c r="G48" s="29" t="n">
        <v>9</v>
      </c>
      <c r="H48" s="29" t="n">
        <v>2833333</v>
      </c>
      <c r="I48" s="31" t="n">
        <v>0.473</v>
      </c>
      <c r="J48" s="37" t="n">
        <v>0.113</v>
      </c>
      <c r="K48" s="31" t="n">
        <v>0.07106</v>
      </c>
    </row>
    <row r="49" customFormat="false" ht="15" hidden="false" customHeight="false" outlineLevel="0" collapsed="false">
      <c r="A49" s="25" t="s">
        <v>133</v>
      </c>
      <c r="B49" s="26" t="n">
        <v>59</v>
      </c>
      <c r="C49" s="34" t="n">
        <v>53.3</v>
      </c>
      <c r="D49" s="34" t="n">
        <v>5.7</v>
      </c>
      <c r="E49" s="34" t="n">
        <v>0</v>
      </c>
      <c r="F49" s="26" t="n">
        <v>0</v>
      </c>
      <c r="G49" s="26" t="n">
        <v>10</v>
      </c>
      <c r="H49" s="26" t="n">
        <v>3150000</v>
      </c>
      <c r="I49" s="32" t="n">
        <v>0.51</v>
      </c>
      <c r="J49" s="35" t="n">
        <v>0.13</v>
      </c>
      <c r="K49" s="32" t="n">
        <v>0.0701</v>
      </c>
    </row>
    <row r="50" customFormat="false" ht="15" hidden="false" customHeight="false" outlineLevel="0" collapsed="false">
      <c r="A50" s="28" t="s">
        <v>134</v>
      </c>
      <c r="B50" s="29" t="n">
        <v>67</v>
      </c>
      <c r="C50" s="36" t="n">
        <v>59.3</v>
      </c>
      <c r="D50" s="36" t="n">
        <v>7.7</v>
      </c>
      <c r="E50" s="36" t="n">
        <v>0</v>
      </c>
      <c r="F50" s="29" t="n">
        <v>0</v>
      </c>
      <c r="G50" s="29" t="n">
        <v>12</v>
      </c>
      <c r="H50" s="29" t="n">
        <v>3466667</v>
      </c>
      <c r="I50" s="31" t="n">
        <v>0.547</v>
      </c>
      <c r="J50" s="37" t="n">
        <v>0.147</v>
      </c>
      <c r="K50" s="31" t="n">
        <v>0.06916</v>
      </c>
    </row>
    <row r="51" customFormat="false" ht="15" hidden="false" customHeight="false" outlineLevel="0" collapsed="false">
      <c r="A51" s="25" t="s">
        <v>135</v>
      </c>
      <c r="B51" s="26" t="n">
        <v>76</v>
      </c>
      <c r="C51" s="34" t="n">
        <v>65.87</v>
      </c>
      <c r="D51" s="34" t="n">
        <v>10.13</v>
      </c>
      <c r="E51" s="34" t="n">
        <v>0</v>
      </c>
      <c r="F51" s="26" t="n">
        <v>0</v>
      </c>
      <c r="G51" s="26" t="n">
        <v>14</v>
      </c>
      <c r="H51" s="26" t="n">
        <v>3783333</v>
      </c>
      <c r="I51" s="32" t="n">
        <v>0.583</v>
      </c>
      <c r="J51" s="35" t="n">
        <v>0.163</v>
      </c>
      <c r="K51" s="32" t="n">
        <v>0.06822</v>
      </c>
    </row>
    <row r="52" customFormat="false" ht="15" hidden="false" customHeight="false" outlineLevel="0" collapsed="false">
      <c r="A52" s="28" t="s">
        <v>136</v>
      </c>
      <c r="B52" s="29" t="n">
        <v>84</v>
      </c>
      <c r="C52" s="36" t="n">
        <v>71.26</v>
      </c>
      <c r="D52" s="36" t="n">
        <v>12.74</v>
      </c>
      <c r="E52" s="36" t="n">
        <v>0</v>
      </c>
      <c r="F52" s="29" t="n">
        <v>0</v>
      </c>
      <c r="G52" s="29" t="n">
        <v>15</v>
      </c>
      <c r="H52" s="29" t="n">
        <v>4100000</v>
      </c>
      <c r="I52" s="31" t="n">
        <v>0.62</v>
      </c>
      <c r="J52" s="37" t="n">
        <v>0.18</v>
      </c>
      <c r="K52" s="31" t="n">
        <v>0.0673</v>
      </c>
    </row>
    <row r="53" customFormat="false" ht="15" hidden="false" customHeight="false" outlineLevel="0" collapsed="false">
      <c r="A53" s="25" t="s">
        <v>137</v>
      </c>
      <c r="B53" s="26" t="n">
        <v>94</v>
      </c>
      <c r="C53" s="34" t="n">
        <v>78.02</v>
      </c>
      <c r="D53" s="34" t="n">
        <v>15.98</v>
      </c>
      <c r="E53" s="34" t="n">
        <v>0</v>
      </c>
      <c r="F53" s="26" t="n">
        <v>0</v>
      </c>
      <c r="G53" s="26" t="n">
        <v>17</v>
      </c>
      <c r="H53" s="26" t="n">
        <v>4583333</v>
      </c>
      <c r="I53" s="32" t="n">
        <v>0.65</v>
      </c>
      <c r="J53" s="35" t="n">
        <v>0.193</v>
      </c>
      <c r="K53" s="32" t="n">
        <v>0.06639</v>
      </c>
    </row>
    <row r="54" customFormat="false" ht="15" hidden="false" customHeight="false" outlineLevel="0" collapsed="false">
      <c r="A54" s="28" t="s">
        <v>138</v>
      </c>
      <c r="B54" s="29" t="n">
        <v>104</v>
      </c>
      <c r="C54" s="36" t="n">
        <v>84.41</v>
      </c>
      <c r="D54" s="36" t="n">
        <v>19.59</v>
      </c>
      <c r="E54" s="36" t="n">
        <v>0</v>
      </c>
      <c r="F54" s="29" t="n">
        <v>0</v>
      </c>
      <c r="G54" s="29" t="n">
        <v>19</v>
      </c>
      <c r="H54" s="29" t="n">
        <v>5066667</v>
      </c>
      <c r="I54" s="31" t="n">
        <v>0.68</v>
      </c>
      <c r="J54" s="37" t="n">
        <v>0.207</v>
      </c>
      <c r="K54" s="31" t="n">
        <v>0.0655</v>
      </c>
    </row>
    <row r="55" customFormat="false" ht="15" hidden="false" customHeight="false" outlineLevel="0" collapsed="false">
      <c r="A55" s="25" t="s">
        <v>139</v>
      </c>
      <c r="B55" s="26" t="n">
        <v>114</v>
      </c>
      <c r="C55" s="34" t="n">
        <v>90.44</v>
      </c>
      <c r="D55" s="34" t="n">
        <v>23.56</v>
      </c>
      <c r="E55" s="34" t="n">
        <v>0</v>
      </c>
      <c r="F55" s="26" t="n">
        <v>0</v>
      </c>
      <c r="G55" s="26" t="n">
        <v>22</v>
      </c>
      <c r="H55" s="26" t="n">
        <v>5550000</v>
      </c>
      <c r="I55" s="32" t="n">
        <v>0.71</v>
      </c>
      <c r="J55" s="35" t="n">
        <v>0.22</v>
      </c>
      <c r="K55" s="32" t="n">
        <v>0.06461</v>
      </c>
    </row>
    <row r="56" customFormat="false" ht="15" hidden="false" customHeight="false" outlineLevel="0" collapsed="false">
      <c r="A56" s="28" t="s">
        <v>140</v>
      </c>
      <c r="B56" s="29" t="n">
        <v>125</v>
      </c>
      <c r="C56" s="36" t="n">
        <v>96.88</v>
      </c>
      <c r="D56" s="36" t="n">
        <v>28.12</v>
      </c>
      <c r="E56" s="36" t="n">
        <v>0</v>
      </c>
      <c r="F56" s="29" t="n">
        <v>0</v>
      </c>
      <c r="G56" s="29" t="n">
        <v>24</v>
      </c>
      <c r="H56" s="29" t="n">
        <v>6033333</v>
      </c>
      <c r="I56" s="31" t="n">
        <v>0.74</v>
      </c>
      <c r="J56" s="37" t="n">
        <v>0.233</v>
      </c>
      <c r="K56" s="31" t="n">
        <v>0.06374</v>
      </c>
    </row>
    <row r="57" customFormat="false" ht="15" hidden="false" customHeight="false" outlineLevel="0" collapsed="false">
      <c r="A57" s="25" t="s">
        <v>141</v>
      </c>
      <c r="B57" s="26" t="n">
        <v>137</v>
      </c>
      <c r="C57" s="34" t="n">
        <v>103.66</v>
      </c>
      <c r="D57" s="34" t="n">
        <v>33.34</v>
      </c>
      <c r="E57" s="34" t="n">
        <v>0</v>
      </c>
      <c r="F57" s="26" t="n">
        <v>0</v>
      </c>
      <c r="G57" s="26" t="n">
        <v>26</v>
      </c>
      <c r="H57" s="26" t="n">
        <v>6516667</v>
      </c>
      <c r="I57" s="32" t="n">
        <v>0.77</v>
      </c>
      <c r="J57" s="35" t="n">
        <v>0.247</v>
      </c>
      <c r="K57" s="32" t="n">
        <v>0.06288</v>
      </c>
    </row>
    <row r="58" customFormat="false" ht="15" hidden="false" customHeight="false" outlineLevel="0" collapsed="false">
      <c r="A58" s="28" t="s">
        <v>142</v>
      </c>
      <c r="B58" s="29" t="n">
        <v>148</v>
      </c>
      <c r="C58" s="36" t="n">
        <v>109.27</v>
      </c>
      <c r="D58" s="36" t="n">
        <v>38.73</v>
      </c>
      <c r="E58" s="36" t="n">
        <v>0</v>
      </c>
      <c r="F58" s="29" t="n">
        <v>0</v>
      </c>
      <c r="G58" s="29" t="n">
        <v>28</v>
      </c>
      <c r="H58" s="29" t="n">
        <v>7000000</v>
      </c>
      <c r="I58" s="31" t="n">
        <v>0.8</v>
      </c>
      <c r="J58" s="37" t="n">
        <v>0.26</v>
      </c>
      <c r="K58" s="31" t="n">
        <v>0.06203</v>
      </c>
    </row>
    <row r="59" customFormat="false" ht="15" hidden="false" customHeight="false" outlineLevel="0" collapsed="false">
      <c r="A59" s="25" t="s">
        <v>143</v>
      </c>
      <c r="B59" s="26" t="n">
        <v>161</v>
      </c>
      <c r="C59" s="34" t="n">
        <v>115.92</v>
      </c>
      <c r="D59" s="34" t="n">
        <v>45.08</v>
      </c>
      <c r="E59" s="34" t="n">
        <v>0</v>
      </c>
      <c r="F59" s="26" t="n">
        <v>0</v>
      </c>
      <c r="G59" s="26" t="n">
        <v>31</v>
      </c>
      <c r="H59" s="26" t="n">
        <v>7666667</v>
      </c>
      <c r="I59" s="32" t="n">
        <v>0.83</v>
      </c>
      <c r="J59" s="35" t="n">
        <v>0.272</v>
      </c>
      <c r="K59" s="32" t="n">
        <v>0.06119</v>
      </c>
    </row>
    <row r="60" customFormat="false" ht="15" hidden="false" customHeight="false" outlineLevel="0" collapsed="false">
      <c r="A60" s="28" t="s">
        <v>144</v>
      </c>
      <c r="B60" s="29" t="n">
        <v>173</v>
      </c>
      <c r="C60" s="36" t="n">
        <v>122.61</v>
      </c>
      <c r="D60" s="36" t="n">
        <v>49.59</v>
      </c>
      <c r="E60" s="36" t="n">
        <v>0.79</v>
      </c>
      <c r="F60" s="29" t="n">
        <v>0</v>
      </c>
      <c r="G60" s="29" t="n">
        <v>34</v>
      </c>
      <c r="H60" s="29" t="n">
        <v>8333333</v>
      </c>
      <c r="I60" s="31" t="n">
        <v>0.86</v>
      </c>
      <c r="J60" s="37" t="n">
        <v>0.283</v>
      </c>
      <c r="K60" s="31" t="n">
        <v>0.06037</v>
      </c>
    </row>
    <row r="61" customFormat="false" ht="15" hidden="false" customHeight="false" outlineLevel="0" collapsed="false">
      <c r="A61" s="25" t="s">
        <v>145</v>
      </c>
      <c r="B61" s="26" t="n">
        <v>186</v>
      </c>
      <c r="C61" s="34" t="n">
        <v>129.74</v>
      </c>
      <c r="D61" s="34" t="n">
        <v>54.56</v>
      </c>
      <c r="E61" s="34" t="n">
        <v>1.71</v>
      </c>
      <c r="F61" s="26" t="n">
        <v>0</v>
      </c>
      <c r="G61" s="26" t="n">
        <v>37</v>
      </c>
      <c r="H61" s="26" t="n">
        <v>9000000</v>
      </c>
      <c r="I61" s="32" t="n">
        <v>0.89</v>
      </c>
      <c r="J61" s="35" t="n">
        <v>0.295</v>
      </c>
      <c r="K61" s="32" t="n">
        <v>0.05955</v>
      </c>
    </row>
    <row r="62" customFormat="false" ht="15" hidden="false" customHeight="false" outlineLevel="0" collapsed="false">
      <c r="A62" s="28" t="s">
        <v>146</v>
      </c>
      <c r="B62" s="29" t="n">
        <v>199</v>
      </c>
      <c r="C62" s="36" t="n">
        <v>136.56</v>
      </c>
      <c r="D62" s="36" t="n">
        <v>59.7</v>
      </c>
      <c r="E62" s="36" t="n">
        <v>2.74</v>
      </c>
      <c r="F62" s="29" t="n">
        <v>1</v>
      </c>
      <c r="G62" s="29" t="n">
        <v>40</v>
      </c>
      <c r="H62" s="29" t="n">
        <v>9666667</v>
      </c>
      <c r="I62" s="31" t="n">
        <v>0.92</v>
      </c>
      <c r="J62" s="37" t="n">
        <v>0.307</v>
      </c>
      <c r="K62" s="31" t="n">
        <v>0.05875</v>
      </c>
    </row>
    <row r="63" customFormat="false" ht="15" hidden="false" customHeight="false" outlineLevel="0" collapsed="false">
      <c r="A63" s="25" t="s">
        <v>147</v>
      </c>
      <c r="B63" s="26" t="n">
        <v>213</v>
      </c>
      <c r="C63" s="34" t="n">
        <v>143.78</v>
      </c>
      <c r="D63" s="34" t="n">
        <v>65.32</v>
      </c>
      <c r="E63" s="34" t="n">
        <v>3.9</v>
      </c>
      <c r="F63" s="26" t="n">
        <v>2</v>
      </c>
      <c r="G63" s="26" t="n">
        <v>43</v>
      </c>
      <c r="H63" s="26" t="n">
        <v>10333333</v>
      </c>
      <c r="I63" s="32" t="n">
        <v>0.95</v>
      </c>
      <c r="J63" s="35" t="n">
        <v>0.318</v>
      </c>
      <c r="K63" s="32" t="n">
        <v>0.05795</v>
      </c>
    </row>
    <row r="64" customFormat="false" ht="15" hidden="false" customHeight="false" outlineLevel="0" collapsed="false">
      <c r="A64" s="28" t="s">
        <v>148</v>
      </c>
      <c r="B64" s="29" t="n">
        <v>226</v>
      </c>
      <c r="C64" s="36" t="n">
        <v>150.01</v>
      </c>
      <c r="D64" s="36" t="n">
        <v>70.81</v>
      </c>
      <c r="E64" s="36" t="n">
        <v>5.18</v>
      </c>
      <c r="F64" s="29" t="n">
        <v>2</v>
      </c>
      <c r="G64" s="29" t="n">
        <v>46</v>
      </c>
      <c r="H64" s="29" t="n">
        <v>11000000</v>
      </c>
      <c r="I64" s="31" t="n">
        <v>0.98</v>
      </c>
      <c r="J64" s="37" t="n">
        <v>0.33</v>
      </c>
      <c r="K64" s="31" t="n">
        <v>0.05717</v>
      </c>
    </row>
    <row r="65" customFormat="false" ht="15" hidden="false" customHeight="false" outlineLevel="0" collapsed="false">
      <c r="A65" s="25" t="s">
        <v>149</v>
      </c>
      <c r="B65" s="26" t="n">
        <v>240</v>
      </c>
      <c r="C65" s="34" t="n">
        <v>156.6</v>
      </c>
      <c r="D65" s="34" t="n">
        <v>76.8</v>
      </c>
      <c r="E65" s="34" t="n">
        <v>6.6</v>
      </c>
      <c r="F65" s="26" t="n">
        <v>2</v>
      </c>
      <c r="G65" s="26" t="n">
        <v>50</v>
      </c>
      <c r="H65" s="26" t="n">
        <v>11833333</v>
      </c>
      <c r="I65" s="32" t="n">
        <v>1.003</v>
      </c>
      <c r="J65" s="35" t="n">
        <v>0.338</v>
      </c>
      <c r="K65" s="32" t="n">
        <v>0.0564</v>
      </c>
    </row>
    <row r="66" customFormat="false" ht="15" hidden="false" customHeight="false" outlineLevel="0" collapsed="false">
      <c r="A66" s="28" t="s">
        <v>150</v>
      </c>
      <c r="B66" s="29" t="n">
        <v>254</v>
      </c>
      <c r="C66" s="36" t="n">
        <v>162.88</v>
      </c>
      <c r="D66" s="36" t="n">
        <v>82.97</v>
      </c>
      <c r="E66" s="36" t="n">
        <v>8.15</v>
      </c>
      <c r="F66" s="29" t="n">
        <v>3</v>
      </c>
      <c r="G66" s="29" t="n">
        <v>54</v>
      </c>
      <c r="H66" s="29" t="n">
        <v>12666667</v>
      </c>
      <c r="I66" s="31" t="n">
        <v>1.027</v>
      </c>
      <c r="J66" s="37" t="n">
        <v>0.347</v>
      </c>
      <c r="K66" s="31" t="n">
        <v>0.05564</v>
      </c>
    </row>
    <row r="67" customFormat="false" ht="15" hidden="false" customHeight="false" outlineLevel="0" collapsed="false">
      <c r="A67" s="25" t="s">
        <v>151</v>
      </c>
      <c r="B67" s="26" t="n">
        <v>268</v>
      </c>
      <c r="C67" s="34" t="n">
        <v>168.84</v>
      </c>
      <c r="D67" s="34" t="n">
        <v>89.33</v>
      </c>
      <c r="E67" s="34" t="n">
        <v>9.83</v>
      </c>
      <c r="F67" s="26" t="n">
        <v>3</v>
      </c>
      <c r="G67" s="26" t="n">
        <v>58</v>
      </c>
      <c r="H67" s="26" t="n">
        <v>13500000</v>
      </c>
      <c r="I67" s="32" t="n">
        <v>1.05</v>
      </c>
      <c r="J67" s="35" t="n">
        <v>0.355</v>
      </c>
      <c r="K67" s="32" t="n">
        <v>0.05489</v>
      </c>
    </row>
    <row r="68" customFormat="false" ht="15" hidden="false" customHeight="false" outlineLevel="0" collapsed="false">
      <c r="A68" s="28" t="s">
        <v>152</v>
      </c>
      <c r="B68" s="29" t="n">
        <v>283</v>
      </c>
      <c r="C68" s="36" t="n">
        <v>175.11</v>
      </c>
      <c r="D68" s="36" t="n">
        <v>96.22</v>
      </c>
      <c r="E68" s="36" t="n">
        <v>11.67</v>
      </c>
      <c r="F68" s="29" t="n">
        <v>3</v>
      </c>
      <c r="G68" s="29" t="n">
        <v>62</v>
      </c>
      <c r="H68" s="29" t="n">
        <v>14333333</v>
      </c>
      <c r="I68" s="31" t="n">
        <v>1.073</v>
      </c>
      <c r="J68" s="37" t="n">
        <v>0.363</v>
      </c>
      <c r="K68" s="31" t="n">
        <v>0.05415</v>
      </c>
    </row>
    <row r="69" customFormat="false" ht="15" hidden="false" customHeight="false" outlineLevel="0" collapsed="false">
      <c r="A69" s="25" t="s">
        <v>153</v>
      </c>
      <c r="B69" s="26" t="n">
        <v>297</v>
      </c>
      <c r="C69" s="34" t="n">
        <v>180.43</v>
      </c>
      <c r="D69" s="34" t="n">
        <v>102.96</v>
      </c>
      <c r="E69" s="34" t="n">
        <v>13.61</v>
      </c>
      <c r="F69" s="26" t="n">
        <v>4</v>
      </c>
      <c r="G69" s="26" t="n">
        <v>66</v>
      </c>
      <c r="H69" s="26" t="n">
        <v>15166667</v>
      </c>
      <c r="I69" s="32" t="n">
        <v>1.097</v>
      </c>
      <c r="J69" s="35" t="n">
        <v>0.372</v>
      </c>
      <c r="K69" s="32" t="n">
        <v>0.05342</v>
      </c>
    </row>
    <row r="70" customFormat="false" ht="15" hidden="false" customHeight="false" outlineLevel="0" collapsed="false">
      <c r="A70" s="28" t="s">
        <v>154</v>
      </c>
      <c r="B70" s="29" t="n">
        <v>312</v>
      </c>
      <c r="C70" s="36" t="n">
        <v>186.03</v>
      </c>
      <c r="D70" s="36" t="n">
        <v>110.24</v>
      </c>
      <c r="E70" s="36" t="n">
        <v>15.73</v>
      </c>
      <c r="F70" s="29" t="n">
        <v>4</v>
      </c>
      <c r="G70" s="29" t="n">
        <v>70</v>
      </c>
      <c r="H70" s="29" t="n">
        <v>16000000</v>
      </c>
      <c r="I70" s="31" t="n">
        <v>1.12</v>
      </c>
      <c r="J70" s="37" t="n">
        <v>0.38</v>
      </c>
      <c r="K70" s="31" t="n">
        <v>0.05269</v>
      </c>
    </row>
    <row r="71" customFormat="false" ht="15" hidden="false" customHeight="false" outlineLevel="0" collapsed="false">
      <c r="A71" s="25" t="s">
        <v>155</v>
      </c>
      <c r="B71" s="26" t="n">
        <v>329</v>
      </c>
      <c r="C71" s="34" t="n">
        <v>192.46</v>
      </c>
      <c r="D71" s="34" t="n">
        <v>118.44</v>
      </c>
      <c r="E71" s="34" t="n">
        <v>18.09</v>
      </c>
      <c r="F71" s="26" t="n">
        <v>4</v>
      </c>
      <c r="G71" s="26" t="n">
        <v>75</v>
      </c>
      <c r="H71" s="26" t="n">
        <v>17083333</v>
      </c>
      <c r="I71" s="32" t="n">
        <v>1.137</v>
      </c>
      <c r="J71" s="35" t="n">
        <v>0.387</v>
      </c>
      <c r="K71" s="32" t="n">
        <v>0.052</v>
      </c>
    </row>
    <row r="72" customFormat="false" ht="15" hidden="false" customHeight="false" outlineLevel="0" collapsed="false">
      <c r="A72" s="28" t="s">
        <v>156</v>
      </c>
      <c r="B72" s="29" t="n">
        <v>345</v>
      </c>
      <c r="C72" s="36" t="n">
        <v>199.52</v>
      </c>
      <c r="D72" s="36" t="n">
        <v>125.06</v>
      </c>
      <c r="E72" s="36" t="n">
        <v>20.41</v>
      </c>
      <c r="F72" s="29" t="n">
        <v>5</v>
      </c>
      <c r="G72" s="29" t="n">
        <v>81</v>
      </c>
      <c r="H72" s="29" t="n">
        <v>18166667</v>
      </c>
      <c r="I72" s="31" t="n">
        <v>1.153</v>
      </c>
      <c r="J72" s="37" t="n">
        <v>0.393</v>
      </c>
      <c r="K72" s="31" t="n">
        <v>0.052</v>
      </c>
    </row>
    <row r="73" customFormat="false" ht="15" hidden="false" customHeight="false" outlineLevel="0" collapsed="false">
      <c r="A73" s="25" t="s">
        <v>157</v>
      </c>
      <c r="B73" s="26" t="n">
        <v>362</v>
      </c>
      <c r="C73" s="34" t="n">
        <v>206.94</v>
      </c>
      <c r="D73" s="34" t="n">
        <v>132.13</v>
      </c>
      <c r="E73" s="34" t="n">
        <v>22.93</v>
      </c>
      <c r="F73" s="26" t="n">
        <v>5</v>
      </c>
      <c r="G73" s="26" t="n">
        <v>86</v>
      </c>
      <c r="H73" s="26" t="n">
        <v>19250000</v>
      </c>
      <c r="I73" s="32" t="n">
        <v>1.17</v>
      </c>
      <c r="J73" s="35" t="n">
        <v>0.4</v>
      </c>
      <c r="K73" s="32" t="n">
        <v>0.052</v>
      </c>
    </row>
    <row r="74" customFormat="false" ht="15" hidden="false" customHeight="false" outlineLevel="0" collapsed="false">
      <c r="A74" s="28" t="s">
        <v>158</v>
      </c>
      <c r="B74" s="29" t="n">
        <v>380</v>
      </c>
      <c r="C74" s="36" t="n">
        <v>214.7</v>
      </c>
      <c r="D74" s="36" t="n">
        <v>139.65</v>
      </c>
      <c r="E74" s="36" t="n">
        <v>25.65</v>
      </c>
      <c r="F74" s="29" t="n">
        <v>6</v>
      </c>
      <c r="G74" s="29" t="n">
        <v>91</v>
      </c>
      <c r="H74" s="29" t="n">
        <v>20333333</v>
      </c>
      <c r="I74" s="31" t="n">
        <v>1.187</v>
      </c>
      <c r="J74" s="37" t="n">
        <v>0.407</v>
      </c>
      <c r="K74" s="31" t="n">
        <v>0.052</v>
      </c>
    </row>
    <row r="75" customFormat="false" ht="15" hidden="false" customHeight="false" outlineLevel="0" collapsed="false">
      <c r="A75" s="25" t="s">
        <v>159</v>
      </c>
      <c r="B75" s="26" t="n">
        <v>398</v>
      </c>
      <c r="C75" s="34" t="n">
        <v>222.22</v>
      </c>
      <c r="D75" s="34" t="n">
        <v>147.26</v>
      </c>
      <c r="E75" s="34" t="n">
        <v>28.52</v>
      </c>
      <c r="F75" s="26" t="n">
        <v>6</v>
      </c>
      <c r="G75" s="26" t="n">
        <v>97</v>
      </c>
      <c r="H75" s="26" t="n">
        <v>21416667</v>
      </c>
      <c r="I75" s="32" t="n">
        <v>1.203</v>
      </c>
      <c r="J75" s="35" t="n">
        <v>0.413</v>
      </c>
      <c r="K75" s="32" t="n">
        <v>0.052</v>
      </c>
    </row>
    <row r="76" customFormat="false" ht="15" hidden="false" customHeight="false" outlineLevel="0" collapsed="false">
      <c r="A76" s="28" t="s">
        <v>160</v>
      </c>
      <c r="B76" s="29" t="n">
        <v>416</v>
      </c>
      <c r="C76" s="36" t="n">
        <v>229.49</v>
      </c>
      <c r="D76" s="36" t="n">
        <v>154.96</v>
      </c>
      <c r="E76" s="36" t="n">
        <v>31.55</v>
      </c>
      <c r="F76" s="29" t="n">
        <v>7</v>
      </c>
      <c r="G76" s="29" t="n">
        <v>102</v>
      </c>
      <c r="H76" s="29" t="n">
        <v>22500000</v>
      </c>
      <c r="I76" s="31" t="n">
        <v>1.22</v>
      </c>
      <c r="J76" s="37" t="n">
        <v>0.42</v>
      </c>
      <c r="K76" s="31" t="n">
        <v>0.052</v>
      </c>
    </row>
    <row r="77" customFormat="false" ht="15" hidden="false" customHeight="false" outlineLevel="0" collapsed="false">
      <c r="A77" s="25" t="s">
        <v>161</v>
      </c>
      <c r="B77" s="26" t="n">
        <v>436</v>
      </c>
      <c r="C77" s="34" t="n">
        <v>237.62</v>
      </c>
      <c r="D77" s="34" t="n">
        <v>163.5</v>
      </c>
      <c r="E77" s="34" t="n">
        <v>34.88</v>
      </c>
      <c r="F77" s="26" t="n">
        <v>8</v>
      </c>
      <c r="G77" s="26" t="n">
        <v>108</v>
      </c>
      <c r="H77" s="26" t="n">
        <v>23750000</v>
      </c>
      <c r="I77" s="32" t="n">
        <v>1.237</v>
      </c>
      <c r="J77" s="35" t="n">
        <v>0.425</v>
      </c>
      <c r="K77" s="32" t="n">
        <v>0.052</v>
      </c>
    </row>
    <row r="78" customFormat="false" ht="15" hidden="false" customHeight="false" outlineLevel="0" collapsed="false">
      <c r="A78" s="28" t="s">
        <v>162</v>
      </c>
      <c r="B78" s="29" t="n">
        <v>456</v>
      </c>
      <c r="C78" s="36" t="n">
        <v>245.48</v>
      </c>
      <c r="D78" s="36" t="n">
        <v>172.14</v>
      </c>
      <c r="E78" s="36" t="n">
        <v>38.38</v>
      </c>
      <c r="F78" s="29" t="n">
        <v>8</v>
      </c>
      <c r="G78" s="29" t="n">
        <v>115</v>
      </c>
      <c r="H78" s="29" t="n">
        <v>25000000</v>
      </c>
      <c r="I78" s="31" t="n">
        <v>1.253</v>
      </c>
      <c r="J78" s="37" t="n">
        <v>0.43</v>
      </c>
      <c r="K78" s="31" t="n">
        <v>0.052</v>
      </c>
    </row>
    <row r="79" customFormat="false" ht="15" hidden="false" customHeight="false" outlineLevel="0" collapsed="false">
      <c r="A79" s="25" t="s">
        <v>163</v>
      </c>
      <c r="B79" s="26" t="n">
        <v>476</v>
      </c>
      <c r="C79" s="34" t="n">
        <v>253.07</v>
      </c>
      <c r="D79" s="34" t="n">
        <v>180.88</v>
      </c>
      <c r="E79" s="34" t="n">
        <v>42.05</v>
      </c>
      <c r="F79" s="26" t="n">
        <v>9</v>
      </c>
      <c r="G79" s="26" t="n">
        <v>121</v>
      </c>
      <c r="H79" s="26" t="n">
        <v>26250000</v>
      </c>
      <c r="I79" s="32" t="n">
        <v>1.27</v>
      </c>
      <c r="J79" s="35" t="n">
        <v>0.435</v>
      </c>
      <c r="K79" s="32" t="n">
        <v>0.052</v>
      </c>
    </row>
    <row r="80" customFormat="false" ht="15" hidden="false" customHeight="false" outlineLevel="0" collapsed="false">
      <c r="A80" s="28" t="s">
        <v>164</v>
      </c>
      <c r="B80" s="29" t="n">
        <v>499</v>
      </c>
      <c r="C80" s="36" t="n">
        <v>261.97</v>
      </c>
      <c r="D80" s="36" t="n">
        <v>190.87</v>
      </c>
      <c r="E80" s="36" t="n">
        <v>46.16</v>
      </c>
      <c r="F80" s="29" t="n">
        <v>10</v>
      </c>
      <c r="G80" s="29" t="n">
        <v>127</v>
      </c>
      <c r="H80" s="29" t="n">
        <v>27500000</v>
      </c>
      <c r="I80" s="31" t="n">
        <v>1.287</v>
      </c>
      <c r="J80" s="37" t="n">
        <v>0.44</v>
      </c>
      <c r="K80" s="31" t="n">
        <v>0.052</v>
      </c>
    </row>
    <row r="81" customFormat="false" ht="15" hidden="false" customHeight="false" outlineLevel="0" collapsed="false">
      <c r="A81" s="25" t="s">
        <v>165</v>
      </c>
      <c r="B81" s="26" t="n">
        <v>522</v>
      </c>
      <c r="C81" s="34" t="n">
        <v>270.57</v>
      </c>
      <c r="D81" s="34" t="n">
        <v>200.97</v>
      </c>
      <c r="E81" s="34" t="n">
        <v>50.46</v>
      </c>
      <c r="F81" s="26" t="n">
        <v>10</v>
      </c>
      <c r="G81" s="26" t="n">
        <v>134</v>
      </c>
      <c r="H81" s="26" t="n">
        <v>28750000</v>
      </c>
      <c r="I81" s="32" t="n">
        <v>1.303</v>
      </c>
      <c r="J81" s="35" t="n">
        <v>0.445</v>
      </c>
      <c r="K81" s="32" t="n">
        <v>0.052</v>
      </c>
    </row>
    <row r="82" customFormat="false" ht="15" hidden="false" customHeight="false" outlineLevel="0" collapsed="false">
      <c r="A82" s="28" t="s">
        <v>166</v>
      </c>
      <c r="B82" s="29" t="n">
        <v>545</v>
      </c>
      <c r="C82" s="36" t="n">
        <v>278.86</v>
      </c>
      <c r="D82" s="36" t="n">
        <v>211.19</v>
      </c>
      <c r="E82" s="36" t="n">
        <v>54.95</v>
      </c>
      <c r="F82" s="29" t="n">
        <v>11</v>
      </c>
      <c r="G82" s="29" t="n">
        <v>140</v>
      </c>
      <c r="H82" s="29" t="n">
        <v>30000000</v>
      </c>
      <c r="I82" s="31" t="n">
        <v>1.32</v>
      </c>
      <c r="J82" s="37" t="n">
        <v>0.45</v>
      </c>
      <c r="K82" s="31" t="n">
        <v>0.052</v>
      </c>
    </row>
    <row r="83" customFormat="false" ht="15" hidden="false" customHeight="false" outlineLevel="0" collapsed="false">
      <c r="A83" s="15" t="s">
        <v>167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customFormat="false" ht="15" hidden="false" customHeight="false" outlineLevel="0" collapsed="false">
      <c r="A84" s="15" t="s">
        <v>168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customFormat="false" ht="15" hidden="false" customHeight="false" outlineLevel="0" collapsed="false">
      <c r="A85" s="15" t="s">
        <v>169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customFormat="false" ht="15" hidden="false" customHeight="false" outlineLevel="0" collapsed="false">
      <c r="A86" s="15" t="s">
        <v>170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customFormat="false" ht="15" hidden="false" customHeight="false" outlineLevel="0" collapsed="false">
      <c r="A87" s="15" t="s">
        <v>171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9" customFormat="false" ht="18.75" hidden="false" customHeight="true" outlineLevel="0" collapsed="false">
      <c r="A89" s="23" t="s">
        <v>172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customFormat="false" ht="16.5" hidden="false" customHeight="true" outlineLevel="0" collapsed="false">
      <c r="A90" s="11" t="s">
        <v>173</v>
      </c>
      <c r="B90" s="24" t="s">
        <v>174</v>
      </c>
      <c r="C90" s="24" t="s">
        <v>118</v>
      </c>
      <c r="D90" s="24" t="s">
        <v>166</v>
      </c>
    </row>
    <row r="91" customFormat="false" ht="15" hidden="false" customHeight="false" outlineLevel="0" collapsed="false">
      <c r="A91" s="25" t="s">
        <v>175</v>
      </c>
      <c r="B91" s="34" t="n">
        <v>34</v>
      </c>
      <c r="C91" s="26" t="n">
        <v>7</v>
      </c>
      <c r="D91" s="26" t="n">
        <v>38</v>
      </c>
    </row>
    <row r="92" customFormat="false" ht="15" hidden="false" customHeight="false" outlineLevel="0" collapsed="false">
      <c r="A92" s="28" t="s">
        <v>176</v>
      </c>
      <c r="B92" s="36" t="n">
        <v>38</v>
      </c>
      <c r="C92" s="29" t="n">
        <v>3</v>
      </c>
      <c r="D92" s="29" t="n">
        <v>26</v>
      </c>
    </row>
    <row r="93" customFormat="false" ht="15" hidden="false" customHeight="false" outlineLevel="0" collapsed="false">
      <c r="A93" s="25" t="s">
        <v>177</v>
      </c>
      <c r="B93" s="34" t="n">
        <v>30</v>
      </c>
      <c r="C93" s="26" t="n">
        <v>2</v>
      </c>
      <c r="D93" s="26" t="n">
        <v>50</v>
      </c>
    </row>
    <row r="94" customFormat="false" ht="15" hidden="false" customHeight="false" outlineLevel="0" collapsed="false">
      <c r="A94" s="28" t="s">
        <v>178</v>
      </c>
      <c r="B94" s="36" t="n">
        <v>30</v>
      </c>
      <c r="C94" s="29" t="n">
        <v>3</v>
      </c>
      <c r="D94" s="29" t="n">
        <v>27</v>
      </c>
    </row>
    <row r="95" customFormat="false" ht="15" hidden="false" customHeight="false" outlineLevel="0" collapsed="false">
      <c r="A95" s="25" t="s">
        <v>179</v>
      </c>
      <c r="B95" s="34" t="n">
        <v>32</v>
      </c>
      <c r="C95" s="26" t="n">
        <v>2</v>
      </c>
      <c r="D95" s="26" t="n">
        <v>21</v>
      </c>
    </row>
    <row r="96" customFormat="false" ht="15" hidden="false" customHeight="false" outlineLevel="0" collapsed="false">
      <c r="A96" s="28" t="s">
        <v>180</v>
      </c>
      <c r="B96" s="36" t="n">
        <v>28</v>
      </c>
      <c r="C96" s="29" t="n">
        <v>2</v>
      </c>
      <c r="D96" s="29" t="n">
        <v>16</v>
      </c>
    </row>
    <row r="97" customFormat="false" ht="15" hidden="false" customHeight="false" outlineLevel="0" collapsed="false">
      <c r="A97" s="25" t="s">
        <v>181</v>
      </c>
      <c r="B97" s="34" t="n">
        <v>26</v>
      </c>
      <c r="C97" s="26" t="n">
        <v>2</v>
      </c>
      <c r="D97" s="26" t="n">
        <v>40</v>
      </c>
    </row>
    <row r="98" customFormat="false" ht="15" hidden="false" customHeight="false" outlineLevel="0" collapsed="false">
      <c r="A98" s="28" t="s">
        <v>182</v>
      </c>
      <c r="B98" s="36" t="n">
        <v>27</v>
      </c>
      <c r="C98" s="29" t="n">
        <v>3</v>
      </c>
      <c r="D98" s="29" t="n">
        <v>50</v>
      </c>
    </row>
    <row r="99" customFormat="false" ht="15" hidden="false" customHeight="false" outlineLevel="0" collapsed="false">
      <c r="A99" s="25" t="s">
        <v>183</v>
      </c>
      <c r="B99" s="34" t="n">
        <v>36</v>
      </c>
      <c r="C99" s="26" t="n">
        <v>1</v>
      </c>
      <c r="D99" s="26" t="n">
        <v>13</v>
      </c>
    </row>
    <row r="100" customFormat="false" ht="15" hidden="false" customHeight="false" outlineLevel="0" collapsed="false">
      <c r="A100" s="28" t="s">
        <v>184</v>
      </c>
      <c r="B100" s="36" t="n">
        <v>24</v>
      </c>
      <c r="C100" s="29" t="n">
        <v>2</v>
      </c>
      <c r="D100" s="29" t="n">
        <v>24</v>
      </c>
    </row>
    <row r="101" customFormat="false" ht="15" hidden="false" customHeight="false" outlineLevel="0" collapsed="false">
      <c r="A101" s="38" t="s">
        <v>185</v>
      </c>
      <c r="B101" s="39"/>
      <c r="C101" s="40" t="n">
        <f aca="false">SUM(C91:C100)</f>
        <v>27</v>
      </c>
      <c r="D101" s="40" t="n">
        <f aca="false">SUM(D91:D100)</f>
        <v>305</v>
      </c>
    </row>
    <row r="102" customFormat="false" ht="15" hidden="false" customHeight="false" outlineLevel="0" collapsed="false">
      <c r="A102" s="41" t="s">
        <v>186</v>
      </c>
      <c r="B102" s="37" t="n">
        <v>0.08</v>
      </c>
      <c r="C102" s="30" t="s">
        <v>187</v>
      </c>
    </row>
    <row r="103" customFormat="false" ht="15" hidden="false" customHeight="false" outlineLevel="0" collapsed="false">
      <c r="A103" s="41" t="s">
        <v>188</v>
      </c>
      <c r="B103" s="37" t="n">
        <v>0.11</v>
      </c>
      <c r="C103" s="30" t="s">
        <v>189</v>
      </c>
    </row>
    <row r="104" customFormat="false" ht="15" hidden="false" customHeight="false" outlineLevel="0" collapsed="false">
      <c r="A104" s="41" t="s">
        <v>190</v>
      </c>
      <c r="B104" s="29" t="n">
        <v>55</v>
      </c>
      <c r="C104" s="30" t="s">
        <v>191</v>
      </c>
    </row>
    <row r="105" customFormat="false" ht="15" hidden="false" customHeight="false" outlineLevel="0" collapsed="false">
      <c r="A105" s="41" t="s">
        <v>192</v>
      </c>
      <c r="B105" s="29" t="n">
        <v>60000</v>
      </c>
      <c r="C105" s="30" t="s">
        <v>193</v>
      </c>
    </row>
    <row r="106" customFormat="false" ht="15" hidden="false" customHeight="false" outlineLevel="0" collapsed="false">
      <c r="A106" s="41" t="s">
        <v>194</v>
      </c>
      <c r="B106" s="37" t="n">
        <v>0.055</v>
      </c>
      <c r="C106" s="30" t="s">
        <v>195</v>
      </c>
    </row>
    <row r="108" customFormat="false" ht="18.75" hidden="false" customHeight="true" outlineLevel="0" collapsed="false">
      <c r="A108" s="23" t="s">
        <v>196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customFormat="false" ht="16.5" hidden="false" customHeight="true" outlineLevel="0" collapsed="false">
      <c r="A109" s="11" t="s">
        <v>197</v>
      </c>
      <c r="B109" s="24" t="s">
        <v>102</v>
      </c>
      <c r="C109" s="24" t="s">
        <v>198</v>
      </c>
      <c r="D109" s="24" t="s">
        <v>199</v>
      </c>
    </row>
    <row r="110" customFormat="false" ht="15" hidden="false" customHeight="false" outlineLevel="0" collapsed="false">
      <c r="A110" s="25" t="s">
        <v>7</v>
      </c>
      <c r="B110" s="42" t="s">
        <v>113</v>
      </c>
      <c r="C110" s="43" t="n">
        <v>8</v>
      </c>
      <c r="D110" s="43" t="n">
        <f aca="false">C110/9</f>
        <v>0.888888888888889</v>
      </c>
    </row>
    <row r="111" customFormat="false" ht="15" hidden="false" customHeight="false" outlineLevel="0" collapsed="false">
      <c r="A111" s="28" t="s">
        <v>200</v>
      </c>
      <c r="B111" s="44" t="s">
        <v>118</v>
      </c>
      <c r="C111" s="45" t="n">
        <v>63</v>
      </c>
      <c r="D111" s="45" t="n">
        <f aca="false">C111/9</f>
        <v>7</v>
      </c>
    </row>
    <row r="112" customFormat="false" ht="15" hidden="false" customHeight="false" outlineLevel="0" collapsed="false">
      <c r="A112" s="25" t="s">
        <v>201</v>
      </c>
      <c r="B112" s="42" t="s">
        <v>137</v>
      </c>
      <c r="C112" s="43" t="n">
        <v>72</v>
      </c>
      <c r="D112" s="43" t="n">
        <f aca="false">C112/9</f>
        <v>8</v>
      </c>
    </row>
    <row r="113" customFormat="false" ht="15" hidden="false" customHeight="false" outlineLevel="0" collapsed="false">
      <c r="A113" s="28" t="s">
        <v>202</v>
      </c>
      <c r="B113" s="44" t="s">
        <v>146</v>
      </c>
      <c r="C113" s="45" t="n">
        <v>45</v>
      </c>
      <c r="D113" s="45" t="n">
        <f aca="false">C113/9</f>
        <v>5</v>
      </c>
    </row>
    <row r="114" customFormat="false" ht="15" hidden="false" customHeight="false" outlineLevel="0" collapsed="false">
      <c r="A114" s="38" t="s">
        <v>203</v>
      </c>
      <c r="B114" s="39"/>
      <c r="C114" s="46" t="n">
        <f aca="false">SUM(C110:C113)</f>
        <v>188</v>
      </c>
      <c r="D114" s="46" t="n">
        <f aca="false">SUM(D110:D113)</f>
        <v>20.8888888888889</v>
      </c>
    </row>
    <row r="115" customFormat="false" ht="15" hidden="false" customHeight="false" outlineLevel="0" collapsed="false">
      <c r="A115" s="47" t="s">
        <v>204</v>
      </c>
      <c r="C115" s="48" t="n">
        <f aca="false">SUM(C111:C113)</f>
        <v>180</v>
      </c>
      <c r="D115" s="48" t="n">
        <f aca="false">SUM(D111:D113)</f>
        <v>20</v>
      </c>
    </row>
    <row r="116" customFormat="false" ht="15" hidden="false" customHeight="false" outlineLevel="0" collapsed="false">
      <c r="A116" s="15" t="s">
        <v>205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8" customFormat="false" ht="15" hidden="false" customHeight="false" outlineLevel="0" collapsed="false">
      <c r="A118" s="49" t="s">
        <v>206</v>
      </c>
      <c r="B118" s="1"/>
      <c r="C118" s="1"/>
      <c r="D118" s="1"/>
      <c r="E118" s="1"/>
    </row>
    <row r="119" customFormat="false" ht="15" hidden="false" customHeight="false" outlineLevel="0" collapsed="false">
      <c r="A119" s="17" t="s">
        <v>207</v>
      </c>
      <c r="B119" s="17" t="s">
        <v>208</v>
      </c>
      <c r="C119" s="17" t="s">
        <v>73</v>
      </c>
      <c r="D119" s="17" t="s">
        <v>209</v>
      </c>
      <c r="E119" s="17" t="s">
        <v>210</v>
      </c>
    </row>
    <row r="120" customFormat="false" ht="15" hidden="false" customHeight="false" outlineLevel="0" collapsed="false">
      <c r="A120" s="50" t="s">
        <v>211</v>
      </c>
      <c r="B120" s="51" t="n">
        <v>0</v>
      </c>
      <c r="C120" s="50" t="s">
        <v>212</v>
      </c>
      <c r="D120" s="52" t="s">
        <v>213</v>
      </c>
      <c r="E120" s="50" t="s">
        <v>214</v>
      </c>
    </row>
    <row r="121" customFormat="false" ht="15" hidden="false" customHeight="false" outlineLevel="0" collapsed="false">
      <c r="A121" s="50" t="s">
        <v>215</v>
      </c>
      <c r="B121" s="53" t="n">
        <v>90000</v>
      </c>
      <c r="C121" s="50" t="s">
        <v>216</v>
      </c>
      <c r="D121" s="52" t="s">
        <v>213</v>
      </c>
      <c r="E121" s="50" t="s">
        <v>217</v>
      </c>
    </row>
    <row r="122" customFormat="false" ht="15" hidden="false" customHeight="false" outlineLevel="0" collapsed="false">
      <c r="A122" s="50" t="s">
        <v>218</v>
      </c>
      <c r="B122" s="54" t="n">
        <v>0</v>
      </c>
      <c r="C122" s="50" t="s">
        <v>219</v>
      </c>
      <c r="D122" s="52" t="s">
        <v>213</v>
      </c>
      <c r="E122" s="50" t="s">
        <v>220</v>
      </c>
    </row>
    <row r="123" customFormat="false" ht="15" hidden="false" customHeight="false" outlineLevel="0" collapsed="false">
      <c r="A123" s="50" t="s">
        <v>221</v>
      </c>
      <c r="B123" s="54" t="n">
        <v>0.05</v>
      </c>
      <c r="C123" s="50" t="s">
        <v>219</v>
      </c>
      <c r="D123" s="52" t="s">
        <v>213</v>
      </c>
      <c r="E123" s="50" t="s">
        <v>222</v>
      </c>
    </row>
    <row r="124" customFormat="false" ht="15" hidden="false" customHeight="false" outlineLevel="0" collapsed="false">
      <c r="A124" s="50" t="s">
        <v>223</v>
      </c>
      <c r="B124" s="54" t="n">
        <v>0.1</v>
      </c>
      <c r="C124" s="50" t="s">
        <v>219</v>
      </c>
      <c r="D124" s="52" t="s">
        <v>213</v>
      </c>
      <c r="E124" s="50"/>
    </row>
    <row r="125" customFormat="false" ht="15" hidden="false" customHeight="false" outlineLevel="0" collapsed="false">
      <c r="A125" s="50" t="s">
        <v>224</v>
      </c>
      <c r="B125" s="54" t="n">
        <v>0.15</v>
      </c>
      <c r="C125" s="50" t="s">
        <v>219</v>
      </c>
      <c r="D125" s="52" t="s">
        <v>213</v>
      </c>
      <c r="E125" s="50"/>
    </row>
    <row r="126" customFormat="false" ht="15" hidden="false" customHeight="false" outlineLevel="0" collapsed="false">
      <c r="A126" s="50" t="s">
        <v>225</v>
      </c>
      <c r="B126" s="54" t="n">
        <v>0.2</v>
      </c>
      <c r="C126" s="50" t="s">
        <v>219</v>
      </c>
      <c r="D126" s="52" t="s">
        <v>213</v>
      </c>
      <c r="E126" s="50"/>
    </row>
    <row r="127" customFormat="false" ht="15" hidden="false" customHeight="false" outlineLevel="0" collapsed="false">
      <c r="A127" s="50" t="s">
        <v>226</v>
      </c>
      <c r="B127" s="54" t="n">
        <v>0.15</v>
      </c>
      <c r="C127" s="50" t="s">
        <v>227</v>
      </c>
      <c r="D127" s="52" t="s">
        <v>213</v>
      </c>
      <c r="E127" s="50" t="s">
        <v>228</v>
      </c>
    </row>
    <row r="128" customFormat="false" ht="15" hidden="false" customHeight="false" outlineLevel="0" collapsed="false">
      <c r="A128" s="50" t="s">
        <v>229</v>
      </c>
      <c r="B128" s="54" t="n">
        <v>0.18</v>
      </c>
      <c r="C128" s="50" t="s">
        <v>230</v>
      </c>
      <c r="D128" s="50" t="s">
        <v>231</v>
      </c>
      <c r="E128" s="50" t="s">
        <v>232</v>
      </c>
    </row>
    <row r="129" customFormat="false" ht="15" hidden="false" customHeight="false" outlineLevel="0" collapsed="false">
      <c r="A129" s="50" t="s">
        <v>233</v>
      </c>
      <c r="B129" s="54" t="n">
        <v>0.04</v>
      </c>
      <c r="C129" s="50" t="s">
        <v>234</v>
      </c>
      <c r="D129" s="50" t="s">
        <v>235</v>
      </c>
      <c r="E129" s="50" t="s">
        <v>236</v>
      </c>
    </row>
    <row r="130" customFormat="false" ht="15" hidden="false" customHeight="false" outlineLevel="0" collapsed="false">
      <c r="A130" s="50" t="s">
        <v>237</v>
      </c>
      <c r="B130" s="51" t="n">
        <v>0</v>
      </c>
      <c r="C130" s="50" t="s">
        <v>212</v>
      </c>
      <c r="D130" s="52" t="s">
        <v>213</v>
      </c>
      <c r="E130" s="50" t="s">
        <v>238</v>
      </c>
    </row>
    <row r="131" customFormat="false" ht="15" hidden="false" customHeight="false" outlineLevel="0" collapsed="false">
      <c r="A131" s="50" t="s">
        <v>239</v>
      </c>
      <c r="B131" s="55" t="n">
        <v>2</v>
      </c>
      <c r="C131" s="50" t="s">
        <v>240</v>
      </c>
      <c r="D131" s="52" t="s">
        <v>213</v>
      </c>
      <c r="E131" s="50" t="s">
        <v>241</v>
      </c>
    </row>
    <row r="132" customFormat="false" ht="15" hidden="false" customHeight="false" outlineLevel="0" collapsed="false">
      <c r="A132" s="50" t="s">
        <v>242</v>
      </c>
      <c r="B132" s="54" t="n">
        <v>0.5</v>
      </c>
      <c r="C132" s="50" t="s">
        <v>243</v>
      </c>
      <c r="D132" s="52" t="s">
        <v>213</v>
      </c>
      <c r="E132" s="50" t="s">
        <v>244</v>
      </c>
    </row>
    <row r="133" customFormat="false" ht="15" hidden="false" customHeight="false" outlineLevel="0" collapsed="false">
      <c r="A133" s="50" t="s">
        <v>245</v>
      </c>
      <c r="B133" s="56" t="n">
        <v>0.1</v>
      </c>
      <c r="C133" s="50" t="s">
        <v>246</v>
      </c>
      <c r="D133" s="52" t="s">
        <v>213</v>
      </c>
      <c r="E133" s="50" t="s">
        <v>247</v>
      </c>
    </row>
    <row r="134" customFormat="false" ht="15" hidden="false" customHeight="false" outlineLevel="0" collapsed="false">
      <c r="A134" s="50" t="s">
        <v>248</v>
      </c>
      <c r="B134" s="51" t="n">
        <v>0</v>
      </c>
      <c r="C134" s="50" t="s">
        <v>212</v>
      </c>
      <c r="D134" s="52" t="s">
        <v>213</v>
      </c>
      <c r="E134" s="50" t="s">
        <v>249</v>
      </c>
    </row>
    <row r="135" customFormat="false" ht="15" hidden="false" customHeight="false" outlineLevel="0" collapsed="false">
      <c r="A135" s="50" t="s">
        <v>250</v>
      </c>
      <c r="B135" s="57" t="n">
        <v>0.5</v>
      </c>
      <c r="C135" s="50" t="s">
        <v>251</v>
      </c>
      <c r="D135" s="52" t="s">
        <v>213</v>
      </c>
      <c r="E135" s="50" t="s">
        <v>252</v>
      </c>
    </row>
    <row r="136" customFormat="false" ht="25.5" hidden="false" customHeight="true" outlineLevel="0" collapsed="false">
      <c r="A136" s="16" t="s">
        <v>253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</sheetData>
  <mergeCells count="16">
    <mergeCell ref="A1:K1"/>
    <mergeCell ref="A2:K2"/>
    <mergeCell ref="A3:K3"/>
    <mergeCell ref="A5:K5"/>
    <mergeCell ref="A24:K24"/>
    <mergeCell ref="A25:K25"/>
    <mergeCell ref="A27:K27"/>
    <mergeCell ref="A83:K83"/>
    <mergeCell ref="A84:K84"/>
    <mergeCell ref="A85:K85"/>
    <mergeCell ref="A86:K86"/>
    <mergeCell ref="A87:K87"/>
    <mergeCell ref="A89:K89"/>
    <mergeCell ref="A108:K108"/>
    <mergeCell ref="A116:K116"/>
    <mergeCell ref="A136:K136"/>
  </mergeCells>
  <conditionalFormatting sqref="B6:K11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5"/>
  </cols>
  <sheetData>
    <row r="1" customFormat="false" ht="30" hidden="false" customHeight="true" outlineLevel="0" collapsed="false">
      <c r="A1" s="20" t="s">
        <v>254</v>
      </c>
      <c r="B1" s="20"/>
      <c r="C1" s="20"/>
      <c r="D1" s="20"/>
      <c r="E1" s="20"/>
      <c r="F1" s="20"/>
    </row>
    <row r="2" customFormat="false" ht="15.75" hidden="false" customHeight="true" outlineLevel="0" collapsed="false">
      <c r="A2" s="21" t="s">
        <v>255</v>
      </c>
      <c r="B2" s="21"/>
      <c r="C2" s="21"/>
      <c r="D2" s="21"/>
      <c r="E2" s="21"/>
      <c r="F2" s="21"/>
    </row>
    <row r="3" customFormat="false" ht="13.5" hidden="false" customHeight="true" outlineLevel="0" collapsed="false">
      <c r="A3" s="22" t="s">
        <v>256</v>
      </c>
      <c r="B3" s="22"/>
      <c r="C3" s="22"/>
      <c r="D3" s="22"/>
      <c r="E3" s="22"/>
      <c r="F3" s="22"/>
    </row>
    <row r="5" customFormat="false" ht="16.5" hidden="false" customHeight="true" outlineLevel="0" collapsed="false">
      <c r="A5" s="11" t="s">
        <v>257</v>
      </c>
      <c r="B5" s="24" t="s">
        <v>258</v>
      </c>
      <c r="C5" s="24" t="s">
        <v>259</v>
      </c>
      <c r="D5" s="24" t="s">
        <v>260</v>
      </c>
      <c r="E5" s="24" t="s">
        <v>261</v>
      </c>
      <c r="F5" s="24" t="s">
        <v>262</v>
      </c>
    </row>
    <row r="6" customFormat="false" ht="15" hidden="false" customHeight="false" outlineLevel="0" collapsed="false">
      <c r="A6" s="47" t="s">
        <v>263</v>
      </c>
      <c r="B6" s="48" t="n">
        <v>0.0144</v>
      </c>
      <c r="C6" s="48" t="n">
        <v>1.8901324621</v>
      </c>
      <c r="D6" s="48" t="n">
        <v>18.0775314634</v>
      </c>
      <c r="E6" s="48" t="n">
        <v>81.1799878901</v>
      </c>
      <c r="F6" s="48" t="n">
        <v>230.3175544147</v>
      </c>
    </row>
    <row r="7" customFormat="false" ht="15" hidden="false" customHeight="false" outlineLevel="0" collapsed="false">
      <c r="A7" s="58" t="s">
        <v>264</v>
      </c>
      <c r="B7" s="43" t="n">
        <v>0.1094040343</v>
      </c>
      <c r="C7" s="43" t="n">
        <v>1.6749955148</v>
      </c>
      <c r="D7" s="43" t="n">
        <v>6.8355136448</v>
      </c>
      <c r="E7" s="43" t="n">
        <v>16.5669364541</v>
      </c>
      <c r="F7" s="43" t="n">
        <v>32.2453123787</v>
      </c>
    </row>
    <row r="8" customFormat="false" ht="15" hidden="false" customHeight="false" outlineLevel="0" collapsed="false">
      <c r="A8" s="47" t="s">
        <v>265</v>
      </c>
      <c r="B8" s="48" t="n">
        <f aca="false">B6-B7</f>
        <v>-0.0950040343</v>
      </c>
      <c r="C8" s="48" t="n">
        <f aca="false">C6-C7</f>
        <v>0.2151369473</v>
      </c>
      <c r="D8" s="48" t="n">
        <f aca="false">D6-D7</f>
        <v>11.2420178186</v>
      </c>
      <c r="E8" s="48" t="n">
        <f aca="false">E6-E7</f>
        <v>64.613051436</v>
      </c>
      <c r="F8" s="48" t="n">
        <f aca="false">F6-F7</f>
        <v>198.072242036</v>
      </c>
    </row>
    <row r="9" customFormat="false" ht="15" hidden="false" customHeight="false" outlineLevel="0" collapsed="false">
      <c r="A9" s="58" t="s">
        <v>266</v>
      </c>
      <c r="B9" s="35" t="str">
        <f aca="false">IF(B6&lt;0.05,"n/m",B8/B6)</f>
        <v>n/m</v>
      </c>
      <c r="C9" s="35" t="n">
        <f aca="false">IF(C6&lt;0.05,"n/m",C8/C6)</f>
        <v>0.113821095406708</v>
      </c>
      <c r="D9" s="35" t="n">
        <f aca="false">IF(D6&lt;0.05,"n/m",D8/D6)</f>
        <v>0.621877928486018</v>
      </c>
      <c r="E9" s="35" t="n">
        <f aca="false">IF(E6&lt;0.05,"n/m",E8/E6)</f>
        <v>0.79592339337956</v>
      </c>
      <c r="F9" s="35" t="n">
        <f aca="false">IF(F6&lt;0.05,"n/m",F8/F6)</f>
        <v>0.859996288773367</v>
      </c>
    </row>
    <row r="10" customFormat="false" ht="15" hidden="false" customHeight="false" outlineLevel="0" collapsed="false">
      <c r="A10" s="41" t="s">
        <v>267</v>
      </c>
      <c r="B10" s="45" t="n">
        <v>4.3888684938</v>
      </c>
      <c r="C10" s="45" t="n">
        <v>26.9415403226</v>
      </c>
      <c r="D10" s="45" t="n">
        <v>61.9751860592</v>
      </c>
      <c r="E10" s="45" t="n">
        <v>111.0942272591</v>
      </c>
      <c r="F10" s="45" t="n">
        <v>175.4962909955</v>
      </c>
    </row>
    <row r="11" customFormat="false" ht="15" hidden="false" customHeight="false" outlineLevel="0" collapsed="false">
      <c r="A11" s="38" t="s">
        <v>268</v>
      </c>
      <c r="B11" s="46" t="n">
        <f aca="false">B8-B10</f>
        <v>-4.4838725281</v>
      </c>
      <c r="C11" s="46" t="n">
        <f aca="false">C8-C10</f>
        <v>-26.7264033753</v>
      </c>
      <c r="D11" s="46" t="n">
        <f aca="false">D8-D10</f>
        <v>-50.7331682406</v>
      </c>
      <c r="E11" s="46" t="n">
        <f aca="false">E8-E10</f>
        <v>-46.4811758231</v>
      </c>
      <c r="F11" s="46" t="n">
        <f aca="false">F8-F10</f>
        <v>22.5759510405</v>
      </c>
    </row>
    <row r="12" customFormat="false" ht="15" hidden="false" customHeight="false" outlineLevel="0" collapsed="false">
      <c r="A12" s="58" t="s">
        <v>269</v>
      </c>
      <c r="B12" s="43" t="n">
        <v>0.3315022298</v>
      </c>
      <c r="C12" s="43" t="n">
        <v>2.2835871864</v>
      </c>
      <c r="D12" s="43" t="n">
        <v>5.2411211544</v>
      </c>
      <c r="E12" s="43" t="n">
        <v>8.7037760861</v>
      </c>
      <c r="F12" s="43" t="n">
        <v>12.3931491026</v>
      </c>
    </row>
    <row r="13" customFormat="false" ht="15" hidden="false" customHeight="false" outlineLevel="0" collapsed="false">
      <c r="A13" s="47" t="s">
        <v>270</v>
      </c>
      <c r="B13" s="48" t="n">
        <f aca="false">B11-B12</f>
        <v>-4.8153747579</v>
      </c>
      <c r="C13" s="48" t="n">
        <f aca="false">C11-C12</f>
        <v>-29.0099905617</v>
      </c>
      <c r="D13" s="48" t="n">
        <f aca="false">D11-D12</f>
        <v>-55.974289395</v>
      </c>
      <c r="E13" s="48" t="n">
        <f aca="false">E11-E12</f>
        <v>-55.1849519092</v>
      </c>
      <c r="F13" s="48" t="n">
        <f aca="false">F11-F12</f>
        <v>10.1828019379</v>
      </c>
    </row>
    <row r="14" customFormat="false" ht="15" hidden="false" customHeight="false" outlineLevel="0" collapsed="false">
      <c r="A14" s="58" t="s">
        <v>271</v>
      </c>
      <c r="B14" s="35" t="str">
        <f aca="false">IF(B6&lt;0.05,"n/m",B11/B6)</f>
        <v>n/m</v>
      </c>
      <c r="C14" s="35" t="n">
        <f aca="false">IF(C6&lt;0.05,"n/m",C11/C6)</f>
        <v>-14.1399631566594</v>
      </c>
      <c r="D14" s="35" t="n">
        <f aca="false">IF(D6&lt;0.05,"n/m",D11/D6)</f>
        <v>-2.80642123861408</v>
      </c>
      <c r="E14" s="35" t="n">
        <f aca="false">IF(E6&lt;0.05,"n/m",E11/E6)</f>
        <v>-0.572569386016975</v>
      </c>
      <c r="F14" s="35" t="n">
        <f aca="false">IF(F6&lt;0.05,"n/m",F11/F6)</f>
        <v>0.0980209741192836</v>
      </c>
    </row>
    <row r="16" customFormat="false" ht="18.75" hidden="false" customHeight="true" outlineLevel="0" collapsed="false">
      <c r="A16" s="23" t="s">
        <v>272</v>
      </c>
      <c r="B16" s="23"/>
      <c r="C16" s="23"/>
      <c r="D16" s="23"/>
      <c r="E16" s="23"/>
      <c r="F16" s="23"/>
    </row>
    <row r="17" customFormat="false" ht="15" hidden="false" customHeight="false" outlineLevel="0" collapsed="false">
      <c r="A17" s="47" t="s">
        <v>273</v>
      </c>
      <c r="B17" s="48" t="n">
        <v>0.0864</v>
      </c>
      <c r="C17" s="48" t="n">
        <v>5.0192216089</v>
      </c>
      <c r="D17" s="48" t="n">
        <v>33.6792230796</v>
      </c>
      <c r="E17" s="48" t="n">
        <v>133.0368786499</v>
      </c>
      <c r="F17" s="48" t="n">
        <v>334.2254412563</v>
      </c>
    </row>
    <row r="18" customFormat="false" ht="15" hidden="false" customHeight="false" outlineLevel="0" collapsed="false">
      <c r="A18" s="59" t="s">
        <v>274</v>
      </c>
      <c r="B18" s="60" t="n">
        <v>66.4436474719</v>
      </c>
      <c r="C18" s="60" t="n">
        <v>38.6667663199</v>
      </c>
      <c r="D18" s="60" t="n">
        <v>55.2298258029</v>
      </c>
      <c r="E18" s="60" t="n">
        <v>38.4114273596</v>
      </c>
      <c r="F18" s="60" t="n">
        <v>30.4094963634</v>
      </c>
    </row>
    <row r="19" customFormat="false" ht="15" hidden="false" customHeight="false" outlineLevel="0" collapsed="false">
      <c r="A19" s="41" t="s">
        <v>275</v>
      </c>
      <c r="B19" s="45" t="n">
        <v>71</v>
      </c>
      <c r="C19" s="45" t="n">
        <v>0</v>
      </c>
      <c r="D19" s="45" t="n">
        <v>72</v>
      </c>
      <c r="E19" s="45" t="n">
        <v>45</v>
      </c>
      <c r="F19" s="45" t="n">
        <v>0</v>
      </c>
    </row>
    <row r="20" customFormat="false" ht="15" hidden="false" customHeight="false" outlineLevel="0" collapsed="false">
      <c r="A20" s="58" t="s">
        <v>192</v>
      </c>
      <c r="B20" s="43" t="n">
        <v>0.07248</v>
      </c>
      <c r="C20" s="43" t="n">
        <v>0.45328</v>
      </c>
      <c r="D20" s="43" t="n">
        <v>0.73232</v>
      </c>
      <c r="E20" s="43" t="n">
        <v>1.01648</v>
      </c>
      <c r="F20" s="43" t="n">
        <v>1.2744</v>
      </c>
    </row>
    <row r="21" customFormat="false" ht="15" hidden="false" customHeight="false" outlineLevel="0" collapsed="false">
      <c r="A21" s="41" t="s">
        <v>276</v>
      </c>
      <c r="B21" s="29" t="n">
        <v>27</v>
      </c>
      <c r="C21" s="29" t="n">
        <v>95</v>
      </c>
      <c r="D21" s="29" t="n">
        <v>170</v>
      </c>
      <c r="E21" s="29" t="n">
        <v>243</v>
      </c>
      <c r="F21" s="29" t="n">
        <v>305</v>
      </c>
    </row>
    <row r="22" customFormat="false" ht="15" hidden="false" customHeight="false" outlineLevel="0" collapsed="false">
      <c r="A22" s="58" t="s">
        <v>277</v>
      </c>
      <c r="B22" s="26" t="n">
        <v>0</v>
      </c>
      <c r="C22" s="26" t="n">
        <v>39</v>
      </c>
      <c r="D22" s="26" t="n">
        <v>148</v>
      </c>
      <c r="E22" s="26" t="n">
        <v>312</v>
      </c>
      <c r="F22" s="26" t="n">
        <v>545</v>
      </c>
    </row>
    <row r="23" customFormat="false" ht="15" hidden="false" customHeight="false" outlineLevel="0" collapsed="false">
      <c r="A23" s="41" t="s">
        <v>278</v>
      </c>
      <c r="B23" s="29" t="n">
        <v>0</v>
      </c>
      <c r="C23" s="29" t="n">
        <v>6</v>
      </c>
      <c r="D23" s="29" t="n">
        <v>28</v>
      </c>
      <c r="E23" s="29" t="n">
        <v>70</v>
      </c>
      <c r="F23" s="29" t="n">
        <v>140</v>
      </c>
    </row>
    <row r="24" customFormat="false" ht="15" hidden="false" customHeight="false" outlineLevel="0" collapsed="false">
      <c r="A24" s="58" t="s">
        <v>279</v>
      </c>
      <c r="B24" s="26" t="n">
        <v>0</v>
      </c>
      <c r="C24" s="26" t="n">
        <v>0</v>
      </c>
      <c r="D24" s="26" t="n">
        <v>0</v>
      </c>
      <c r="E24" s="26" t="n">
        <v>4</v>
      </c>
      <c r="F24" s="26" t="n">
        <v>11</v>
      </c>
    </row>
    <row r="26" customFormat="false" ht="18.75" hidden="false" customHeight="true" outlineLevel="0" collapsed="false">
      <c r="A26" s="6" t="s">
        <v>280</v>
      </c>
      <c r="B26" s="6"/>
      <c r="C26" s="6"/>
      <c r="D26" s="6"/>
      <c r="E26" s="6"/>
      <c r="F26" s="6"/>
    </row>
    <row r="27" customFormat="false" ht="16.5" hidden="false" customHeight="true" outlineLevel="0" collapsed="false">
      <c r="A27" s="11" t="s">
        <v>281</v>
      </c>
      <c r="B27" s="24" t="s">
        <v>258</v>
      </c>
      <c r="C27" s="24" t="s">
        <v>259</v>
      </c>
      <c r="D27" s="24" t="s">
        <v>260</v>
      </c>
      <c r="E27" s="24" t="s">
        <v>261</v>
      </c>
      <c r="F27" s="24" t="s">
        <v>262</v>
      </c>
    </row>
    <row r="28" customFormat="false" ht="15" hidden="false" customHeight="false" outlineLevel="0" collapsed="false">
      <c r="A28" s="47" t="s">
        <v>263</v>
      </c>
      <c r="B28" s="48" t="n">
        <f aca="false">B6/9</f>
        <v>0.0016</v>
      </c>
      <c r="C28" s="48" t="n">
        <f aca="false">C6/9</f>
        <v>0.210014718011111</v>
      </c>
      <c r="D28" s="48" t="n">
        <f aca="false">D6/9</f>
        <v>2.00861460704444</v>
      </c>
      <c r="E28" s="48" t="n">
        <f aca="false">E6/9</f>
        <v>9.01999865445556</v>
      </c>
      <c r="F28" s="48" t="n">
        <f aca="false">F6/9</f>
        <v>25.5908393794111</v>
      </c>
    </row>
    <row r="29" customFormat="false" ht="15" hidden="false" customHeight="false" outlineLevel="0" collapsed="false">
      <c r="A29" s="58" t="s">
        <v>264</v>
      </c>
      <c r="B29" s="43" t="n">
        <f aca="false">B7/9</f>
        <v>0.0121560038111111</v>
      </c>
      <c r="C29" s="43" t="n">
        <f aca="false">C7/9</f>
        <v>0.186110612755556</v>
      </c>
      <c r="D29" s="43" t="n">
        <f aca="false">D7/9</f>
        <v>0.759501516088889</v>
      </c>
      <c r="E29" s="43" t="n">
        <f aca="false">E7/9</f>
        <v>1.84077071712222</v>
      </c>
      <c r="F29" s="43" t="n">
        <f aca="false">F7/9</f>
        <v>3.58281248652222</v>
      </c>
    </row>
    <row r="30" customFormat="false" ht="15" hidden="false" customHeight="false" outlineLevel="0" collapsed="false">
      <c r="A30" s="47" t="s">
        <v>265</v>
      </c>
      <c r="B30" s="48" t="n">
        <f aca="false">B8/9</f>
        <v>-0.0105560038111111</v>
      </c>
      <c r="C30" s="48" t="n">
        <f aca="false">C8/9</f>
        <v>0.0239041052555556</v>
      </c>
      <c r="D30" s="48" t="n">
        <f aca="false">D8/9</f>
        <v>1.24911309095556</v>
      </c>
      <c r="E30" s="48" t="n">
        <f aca="false">E8/9</f>
        <v>7.17922793733333</v>
      </c>
      <c r="F30" s="48" t="n">
        <f aca="false">F8/9</f>
        <v>22.0080268928889</v>
      </c>
    </row>
    <row r="31" customFormat="false" ht="15" hidden="false" customHeight="false" outlineLevel="0" collapsed="false">
      <c r="A31" s="58" t="s">
        <v>267</v>
      </c>
      <c r="B31" s="43" t="n">
        <f aca="false">B10/9</f>
        <v>0.487652054866667</v>
      </c>
      <c r="C31" s="43" t="n">
        <f aca="false">C10/9</f>
        <v>2.99350448028889</v>
      </c>
      <c r="D31" s="43" t="n">
        <f aca="false">D10/9</f>
        <v>6.88613178435556</v>
      </c>
      <c r="E31" s="43" t="n">
        <f aca="false">E10/9</f>
        <v>12.3438030287889</v>
      </c>
      <c r="F31" s="43" t="n">
        <f aca="false">F10/9</f>
        <v>19.4995878883889</v>
      </c>
    </row>
    <row r="32" customFormat="false" ht="15" hidden="false" customHeight="false" outlineLevel="0" collapsed="false">
      <c r="A32" s="47" t="s">
        <v>268</v>
      </c>
      <c r="B32" s="48" t="n">
        <f aca="false">B11/9</f>
        <v>-0.498208058677778</v>
      </c>
      <c r="C32" s="48" t="n">
        <f aca="false">C11/9</f>
        <v>-2.96960037503333</v>
      </c>
      <c r="D32" s="48" t="n">
        <f aca="false">D11/9</f>
        <v>-5.6370186934</v>
      </c>
      <c r="E32" s="48" t="n">
        <f aca="false">E11/9</f>
        <v>-5.16457509145556</v>
      </c>
      <c r="F32" s="48" t="n">
        <f aca="false">F11/9</f>
        <v>2.5084390045</v>
      </c>
    </row>
    <row r="33" customFormat="false" ht="15" hidden="false" customHeight="false" outlineLevel="0" collapsed="false">
      <c r="A33" s="58" t="s">
        <v>269</v>
      </c>
      <c r="B33" s="43" t="n">
        <f aca="false">B12/9</f>
        <v>0.0368335810888889</v>
      </c>
      <c r="C33" s="43" t="n">
        <f aca="false">C12/9</f>
        <v>0.2537319096</v>
      </c>
      <c r="D33" s="43" t="n">
        <f aca="false">D12/9</f>
        <v>0.582346794933333</v>
      </c>
      <c r="E33" s="43" t="n">
        <f aca="false">E12/9</f>
        <v>0.967086231788889</v>
      </c>
      <c r="F33" s="43" t="n">
        <f aca="false">F12/9</f>
        <v>1.37701656695556</v>
      </c>
    </row>
    <row r="34" customFormat="false" ht="15" hidden="false" customHeight="false" outlineLevel="0" collapsed="false">
      <c r="A34" s="47" t="s">
        <v>270</v>
      </c>
      <c r="B34" s="48" t="n">
        <f aca="false">B13/9</f>
        <v>-0.535041639766667</v>
      </c>
      <c r="C34" s="48" t="n">
        <f aca="false">C13/9</f>
        <v>-3.22333228463333</v>
      </c>
      <c r="D34" s="48" t="n">
        <f aca="false">D13/9</f>
        <v>-6.21936548833333</v>
      </c>
      <c r="E34" s="48" t="n">
        <f aca="false">E13/9</f>
        <v>-6.13166132324445</v>
      </c>
      <c r="F34" s="48" t="n">
        <f aca="false">F13/9</f>
        <v>1.13142243754444</v>
      </c>
    </row>
    <row r="35" customFormat="false" ht="15" hidden="false" customHeight="false" outlineLevel="0" collapsed="false">
      <c r="A35" s="59" t="s">
        <v>273</v>
      </c>
      <c r="B35" s="60" t="n">
        <f aca="false">B17/9</f>
        <v>0.0096</v>
      </c>
      <c r="C35" s="60" t="n">
        <f aca="false">C17/9</f>
        <v>0.557691289877778</v>
      </c>
      <c r="D35" s="60" t="n">
        <f aca="false">D17/9</f>
        <v>3.74213589773333</v>
      </c>
      <c r="E35" s="60" t="n">
        <f aca="false">E17/9</f>
        <v>14.7818754055444</v>
      </c>
      <c r="F35" s="60" t="n">
        <f aca="false">F17/9</f>
        <v>37.1361601395889</v>
      </c>
    </row>
    <row r="36" customFormat="false" ht="15" hidden="false" customHeight="false" outlineLevel="0" collapsed="false">
      <c r="A36" s="47" t="s">
        <v>274</v>
      </c>
      <c r="B36" s="48" t="n">
        <f aca="false">B18/9</f>
        <v>7.38262749687778</v>
      </c>
      <c r="C36" s="48" t="n">
        <f aca="false">C18/9</f>
        <v>4.29630736887778</v>
      </c>
      <c r="D36" s="48" t="n">
        <f aca="false">D18/9</f>
        <v>6.13664731143333</v>
      </c>
      <c r="E36" s="48" t="n">
        <f aca="false">E18/9</f>
        <v>4.26793637328889</v>
      </c>
      <c r="F36" s="48" t="n">
        <f aca="false">F18/9</f>
        <v>3.37883292926667</v>
      </c>
    </row>
    <row r="37" customFormat="false" ht="15" hidden="false" customHeight="false" outlineLevel="0" collapsed="false">
      <c r="A37" s="15" t="s">
        <v>282</v>
      </c>
      <c r="B37" s="15"/>
      <c r="C37" s="15"/>
      <c r="D37" s="15"/>
      <c r="E37" s="15"/>
      <c r="F37" s="15"/>
    </row>
    <row r="39" customFormat="false" ht="15" hidden="false" customHeight="false" outlineLevel="0" collapsed="false">
      <c r="A39" s="49" t="s">
        <v>283</v>
      </c>
      <c r="B39" s="1"/>
      <c r="C39" s="1"/>
      <c r="D39" s="1"/>
      <c r="E39" s="1"/>
      <c r="F39" s="1"/>
    </row>
    <row r="40" customFormat="false" ht="15" hidden="false" customHeight="false" outlineLevel="0" collapsed="false">
      <c r="A40" s="17" t="s">
        <v>257</v>
      </c>
      <c r="B40" s="61" t="s">
        <v>258</v>
      </c>
      <c r="C40" s="61" t="s">
        <v>259</v>
      </c>
      <c r="D40" s="61" t="s">
        <v>260</v>
      </c>
      <c r="E40" s="61" t="s">
        <v>261</v>
      </c>
      <c r="F40" s="61" t="s">
        <v>262</v>
      </c>
    </row>
    <row r="41" customFormat="false" ht="15" hidden="false" customHeight="false" outlineLevel="0" collapsed="false">
      <c r="A41" s="62" t="s">
        <v>284</v>
      </c>
      <c r="B41" s="63" t="n">
        <f aca="false">'Govern overlay'!B88</f>
        <v>0</v>
      </c>
      <c r="C41" s="63" t="n">
        <f aca="false">'Govern overlay'!C88</f>
        <v>0</v>
      </c>
      <c r="D41" s="63" t="n">
        <f aca="false">'Govern overlay'!D88</f>
        <v>0</v>
      </c>
      <c r="E41" s="63" t="n">
        <f aca="false">'Govern overlay'!E88</f>
        <v>0</v>
      </c>
      <c r="F41" s="63" t="n">
        <f aca="false">'Govern overlay'!F88</f>
        <v>0</v>
      </c>
    </row>
    <row r="42" customFormat="false" ht="15" hidden="false" customHeight="false" outlineLevel="0" collapsed="false">
      <c r="A42" s="62" t="s">
        <v>285</v>
      </c>
      <c r="B42" s="63" t="n">
        <f aca="false">'Govern overlay'!B89</f>
        <v>0</v>
      </c>
      <c r="C42" s="63" t="n">
        <f aca="false">'Govern overlay'!C89</f>
        <v>0</v>
      </c>
      <c r="D42" s="63" t="n">
        <f aca="false">'Govern overlay'!D89</f>
        <v>0</v>
      </c>
      <c r="E42" s="63" t="n">
        <f aca="false">'Govern overlay'!E89</f>
        <v>0</v>
      </c>
      <c r="F42" s="63" t="n">
        <f aca="false">'Govern overlay'!F89</f>
        <v>0</v>
      </c>
    </row>
    <row r="43" customFormat="false" ht="15" hidden="false" customHeight="false" outlineLevel="0" collapsed="false">
      <c r="A43" s="64" t="s">
        <v>286</v>
      </c>
      <c r="B43" s="65" t="n">
        <f aca="false">B41-B42</f>
        <v>0</v>
      </c>
      <c r="C43" s="65" t="n">
        <f aca="false">C41-C42</f>
        <v>0</v>
      </c>
      <c r="D43" s="65" t="n">
        <f aca="false">D41-D42</f>
        <v>0</v>
      </c>
      <c r="E43" s="65" t="n">
        <f aca="false">E41-E42</f>
        <v>0</v>
      </c>
      <c r="F43" s="65" t="n">
        <f aca="false">F41-F42</f>
        <v>0</v>
      </c>
    </row>
    <row r="44" customFormat="false" ht="15" hidden="false" customHeight="false" outlineLevel="0" collapsed="false">
      <c r="A44" s="64" t="s">
        <v>287</v>
      </c>
      <c r="B44" s="48" t="n">
        <f aca="false">B6+B41</f>
        <v>0.0144</v>
      </c>
      <c r="C44" s="48" t="n">
        <f aca="false">C6+C41</f>
        <v>1.8901324621</v>
      </c>
      <c r="D44" s="48" t="n">
        <f aca="false">D6+D41</f>
        <v>18.0775314634</v>
      </c>
      <c r="E44" s="48" t="n">
        <f aca="false">E6+E41</f>
        <v>81.1799878901</v>
      </c>
      <c r="F44" s="48" t="n">
        <f aca="false">F6+F41</f>
        <v>230.3175544147</v>
      </c>
    </row>
    <row r="45" customFormat="false" ht="15" hidden="false" customHeight="false" outlineLevel="0" collapsed="false">
      <c r="A45" s="62" t="s">
        <v>288</v>
      </c>
      <c r="B45" s="37" t="str">
        <f aca="false">IF(B44&lt;0.05,"n/m",(B44-B7-B42)/B44)</f>
        <v>n/m</v>
      </c>
      <c r="C45" s="37" t="n">
        <f aca="false">IF(C44&lt;0.05,"n/m",(C44-C7-C42)/C44)</f>
        <v>0.113821095406708</v>
      </c>
      <c r="D45" s="37" t="n">
        <f aca="false">IF(D44&lt;0.05,"n/m",(D44-D7-D42)/D44)</f>
        <v>0.621877928486018</v>
      </c>
      <c r="E45" s="37" t="n">
        <f aca="false">IF(E44&lt;0.05,"n/m",(E44-E7-E42)/E44)</f>
        <v>0.79592339337956</v>
      </c>
      <c r="F45" s="37" t="n">
        <f aca="false">IF(F44&lt;0.05,"n/m",(F44-F7-F42)/F44)</f>
        <v>0.859996288773367</v>
      </c>
    </row>
    <row r="46" customFormat="false" ht="15" hidden="false" customHeight="false" outlineLevel="0" collapsed="false">
      <c r="A46" s="64" t="s">
        <v>289</v>
      </c>
      <c r="B46" s="48" t="n">
        <f aca="false">B11+B43</f>
        <v>-4.4838725281</v>
      </c>
      <c r="C46" s="48" t="n">
        <f aca="false">C11+C43</f>
        <v>-26.7264033753</v>
      </c>
      <c r="D46" s="48" t="n">
        <f aca="false">D11+D43</f>
        <v>-50.7331682406</v>
      </c>
      <c r="E46" s="48" t="n">
        <f aca="false">E11+E43</f>
        <v>-46.4811758231</v>
      </c>
      <c r="F46" s="48" t="n">
        <f aca="false">F11+F43</f>
        <v>22.5759510405</v>
      </c>
    </row>
    <row r="47" customFormat="false" ht="15" hidden="false" customHeight="false" outlineLevel="0" collapsed="false">
      <c r="A47" s="64" t="s">
        <v>290</v>
      </c>
      <c r="B47" s="48" t="n">
        <f aca="false">B18+'Govern overlay'!B91</f>
        <v>66.4436474719</v>
      </c>
      <c r="C47" s="48" t="n">
        <f aca="false">C18+'Govern overlay'!C91</f>
        <v>38.6667663199</v>
      </c>
      <c r="D47" s="48" t="n">
        <f aca="false">D18+'Govern overlay'!D91</f>
        <v>55.2298258029</v>
      </c>
      <c r="E47" s="48" t="n">
        <f aca="false">E18+'Govern overlay'!E91</f>
        <v>38.4114273596</v>
      </c>
      <c r="F47" s="48" t="n">
        <f aca="false">F18+'Govern overlay'!F91</f>
        <v>30.4094963634</v>
      </c>
    </row>
    <row r="48" customFormat="false" ht="15" hidden="false" customHeight="false" outlineLevel="0" collapsed="false">
      <c r="A48" s="62" t="s">
        <v>291</v>
      </c>
      <c r="B48" s="45" t="n">
        <f aca="false">B17+'Govern overlay'!B92</f>
        <v>0.0864</v>
      </c>
      <c r="C48" s="45" t="n">
        <f aca="false">C17+'Govern overlay'!C92</f>
        <v>5.0192216089</v>
      </c>
      <c r="D48" s="45" t="n">
        <f aca="false">D17+'Govern overlay'!D92</f>
        <v>33.6792230796</v>
      </c>
      <c r="E48" s="45" t="n">
        <f aca="false">E17+'Govern overlay'!E92</f>
        <v>133.0368786499</v>
      </c>
      <c r="F48" s="45" t="n">
        <f aca="false">F17+'Govern overlay'!F92</f>
        <v>334.2254412563</v>
      </c>
    </row>
    <row r="49" customFormat="false" ht="15" hidden="false" customHeight="false" outlineLevel="0" collapsed="false">
      <c r="A49" s="66" t="str">
        <f aca="false">IF(Assumptions!B120+Assumptions!B130+Assumptions!B134=0,"All Elan1 Govern switches are OFF: rows 44 to 48 equal the engine base above.","One or more Elan1 Govern switches are ON: rows 44 to 48 differ from the engine base above; the gate thresholds in the IM are quoted on the engine base.")</f>
        <v>All Elan1 Govern switches are OFF: rows 44 to 48 equal the engine base above.</v>
      </c>
      <c r="B49" s="66"/>
      <c r="C49" s="66"/>
      <c r="D49" s="66"/>
      <c r="E49" s="66"/>
      <c r="F49" s="66"/>
    </row>
    <row r="50" customFormat="false" ht="25.5" hidden="false" customHeight="true" outlineLevel="0" collapsed="false">
      <c r="A50" s="16" t="s">
        <v>292</v>
      </c>
      <c r="B50" s="16"/>
      <c r="C50" s="16"/>
      <c r="D50" s="16"/>
      <c r="E50" s="16"/>
      <c r="F50" s="16"/>
    </row>
  </sheetData>
  <mergeCells count="8">
    <mergeCell ref="A1:F1"/>
    <mergeCell ref="A2:F2"/>
    <mergeCell ref="A3:F3"/>
    <mergeCell ref="A16:F16"/>
    <mergeCell ref="A26:F26"/>
    <mergeCell ref="A37:F37"/>
    <mergeCell ref="A49:F49"/>
    <mergeCell ref="A50:F50"/>
  </mergeCells>
  <conditionalFormatting sqref="B6:F6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4"/>
  </cols>
  <sheetData>
    <row r="1" customFormat="false" ht="30" hidden="false" customHeight="true" outlineLevel="0" collapsed="false">
      <c r="A1" s="20" t="s">
        <v>293</v>
      </c>
      <c r="B1" s="20"/>
      <c r="C1" s="20"/>
      <c r="D1" s="20"/>
      <c r="E1" s="20"/>
      <c r="F1" s="20"/>
      <c r="G1" s="20"/>
      <c r="H1" s="20"/>
    </row>
    <row r="2" customFormat="false" ht="15.75" hidden="false" customHeight="true" outlineLevel="0" collapsed="false">
      <c r="A2" s="21" t="s">
        <v>294</v>
      </c>
      <c r="B2" s="21"/>
      <c r="C2" s="21"/>
      <c r="D2" s="21"/>
      <c r="E2" s="21"/>
      <c r="F2" s="21"/>
      <c r="G2" s="21"/>
      <c r="H2" s="21"/>
    </row>
    <row r="3" customFormat="false" ht="13.5" hidden="false" customHeight="true" outlineLevel="0" collapsed="false">
      <c r="A3" s="22" t="s">
        <v>295</v>
      </c>
      <c r="B3" s="22"/>
      <c r="C3" s="22"/>
      <c r="D3" s="22"/>
      <c r="E3" s="22"/>
      <c r="F3" s="22"/>
      <c r="G3" s="22"/>
      <c r="H3" s="22"/>
    </row>
    <row r="5" customFormat="false" ht="16.5" hidden="false" customHeight="true" outlineLevel="0" collapsed="false">
      <c r="A5" s="11" t="s">
        <v>296</v>
      </c>
      <c r="B5" s="24" t="s">
        <v>113</v>
      </c>
      <c r="C5" s="24" t="s">
        <v>114</v>
      </c>
      <c r="D5" s="24" t="s">
        <v>115</v>
      </c>
      <c r="E5" s="24" t="s">
        <v>116</v>
      </c>
      <c r="F5" s="24" t="s">
        <v>117</v>
      </c>
      <c r="G5" s="24" t="s">
        <v>118</v>
      </c>
      <c r="H5" s="24" t="s">
        <v>297</v>
      </c>
    </row>
    <row r="6" customFormat="false" ht="15" hidden="false" customHeight="false" outlineLevel="0" collapsed="false">
      <c r="A6" s="47" t="s">
        <v>263</v>
      </c>
      <c r="B6" s="48" t="n">
        <v>0</v>
      </c>
      <c r="C6" s="48" t="n">
        <v>0</v>
      </c>
      <c r="D6" s="48" t="n">
        <v>0</v>
      </c>
      <c r="E6" s="48" t="n">
        <v>0.24</v>
      </c>
      <c r="F6" s="48" t="n">
        <v>0.48</v>
      </c>
      <c r="G6" s="48" t="n">
        <v>0.72</v>
      </c>
      <c r="H6" s="48" t="n">
        <f aca="false">SUM(B6:G6)</f>
        <v>1.44</v>
      </c>
    </row>
    <row r="7" customFormat="false" ht="15" hidden="false" customHeight="false" outlineLevel="0" collapsed="false">
      <c r="A7" s="58" t="s">
        <v>264</v>
      </c>
      <c r="B7" s="43" t="n">
        <v>0.55</v>
      </c>
      <c r="C7" s="43" t="n">
        <v>0.55</v>
      </c>
      <c r="D7" s="43" t="n">
        <v>1.757050436</v>
      </c>
      <c r="E7" s="43" t="n">
        <v>1.81781108</v>
      </c>
      <c r="F7" s="43" t="n">
        <v>3.099823643</v>
      </c>
      <c r="G7" s="43" t="n">
        <v>3.165718275</v>
      </c>
      <c r="H7" s="43" t="n">
        <f aca="false">SUM(B7:G7)</f>
        <v>10.940403434</v>
      </c>
    </row>
    <row r="8" customFormat="false" ht="15" hidden="false" customHeight="false" outlineLevel="0" collapsed="false">
      <c r="A8" s="47" t="s">
        <v>265</v>
      </c>
      <c r="B8" s="48" t="n">
        <f aca="false">B6-B7</f>
        <v>-0.55</v>
      </c>
      <c r="C8" s="48" t="n">
        <f aca="false">C6-C7</f>
        <v>-0.55</v>
      </c>
      <c r="D8" s="48" t="n">
        <f aca="false">D6-D7</f>
        <v>-1.757050436</v>
      </c>
      <c r="E8" s="48" t="n">
        <f aca="false">E6-E7</f>
        <v>-1.57781108</v>
      </c>
      <c r="F8" s="48" t="n">
        <f aca="false">F6-F7</f>
        <v>-2.619823643</v>
      </c>
      <c r="G8" s="48" t="n">
        <f aca="false">G6-G7</f>
        <v>-2.445718275</v>
      </c>
      <c r="H8" s="48" t="n">
        <f aca="false">H6-H7</f>
        <v>-9.500403434</v>
      </c>
    </row>
    <row r="9" customFormat="false" ht="15" hidden="false" customHeight="false" outlineLevel="0" collapsed="false">
      <c r="A9" s="41" t="s">
        <v>267</v>
      </c>
      <c r="B9" s="45" t="n">
        <v>47.109266667</v>
      </c>
      <c r="C9" s="45" t="n">
        <v>50.57543658</v>
      </c>
      <c r="D9" s="45" t="n">
        <v>71.779573335</v>
      </c>
      <c r="E9" s="45" t="n">
        <v>80.497293481</v>
      </c>
      <c r="F9" s="45" t="n">
        <v>92.542053494</v>
      </c>
      <c r="G9" s="45" t="n">
        <v>96.383225821</v>
      </c>
      <c r="H9" s="45" t="n">
        <f aca="false">SUM(B9:G9)</f>
        <v>438.886849378</v>
      </c>
    </row>
    <row r="10" customFormat="false" ht="15" hidden="false" customHeight="false" outlineLevel="0" collapsed="false">
      <c r="A10" s="38" t="s">
        <v>268</v>
      </c>
      <c r="B10" s="46" t="n">
        <f aca="false">B8-B9</f>
        <v>-47.659266667</v>
      </c>
      <c r="C10" s="46" t="n">
        <f aca="false">C8-C9</f>
        <v>-51.12543658</v>
      </c>
      <c r="D10" s="46" t="n">
        <f aca="false">D8-D9</f>
        <v>-73.536623771</v>
      </c>
      <c r="E10" s="46" t="n">
        <f aca="false">E8-E9</f>
        <v>-82.075104561</v>
      </c>
      <c r="F10" s="46" t="n">
        <f aca="false">F8-F9</f>
        <v>-95.161877137</v>
      </c>
      <c r="G10" s="46" t="n">
        <f aca="false">G8-G9</f>
        <v>-98.828944096</v>
      </c>
      <c r="H10" s="46" t="n">
        <f aca="false">H8-H9</f>
        <v>-448.387252812</v>
      </c>
    </row>
    <row r="11" customFormat="false" ht="15" hidden="false" customHeight="false" outlineLevel="0" collapsed="false">
      <c r="A11" s="58" t="s">
        <v>192</v>
      </c>
      <c r="B11" s="43" t="n">
        <v>0.952</v>
      </c>
      <c r="C11" s="43" t="n">
        <v>0.984</v>
      </c>
      <c r="D11" s="43" t="n">
        <v>1.112</v>
      </c>
      <c r="E11" s="43" t="n">
        <v>1.304</v>
      </c>
      <c r="F11" s="43" t="n">
        <v>1.432</v>
      </c>
      <c r="G11" s="43" t="n">
        <v>1.464</v>
      </c>
      <c r="H11" s="43" t="n">
        <f aca="false">SUM(B11:G11)</f>
        <v>7.248</v>
      </c>
    </row>
    <row r="12" customFormat="false" ht="15" hidden="false" customHeight="false" outlineLevel="0" collapsed="false">
      <c r="A12" s="47" t="s">
        <v>298</v>
      </c>
      <c r="B12" s="48" t="n">
        <v>48.611266667</v>
      </c>
      <c r="C12" s="48" t="n">
        <v>52.10943658</v>
      </c>
      <c r="D12" s="48" t="n">
        <v>74.648623772</v>
      </c>
      <c r="E12" s="48" t="n">
        <v>83.37910456</v>
      </c>
      <c r="F12" s="48" t="n">
        <v>96.593877137</v>
      </c>
      <c r="G12" s="48" t="n">
        <v>100.292944097</v>
      </c>
      <c r="H12" s="48" t="n">
        <f aca="false">SUM(B12:G12)</f>
        <v>455.635252813</v>
      </c>
    </row>
    <row r="13" customFormat="false" ht="15" hidden="false" customHeight="false" outlineLevel="0" collapsed="false">
      <c r="A13" s="41" t="s">
        <v>299</v>
      </c>
      <c r="B13" s="45" t="n">
        <v>800</v>
      </c>
      <c r="C13" s="45" t="n">
        <v>0</v>
      </c>
      <c r="D13" s="45" t="n">
        <v>0</v>
      </c>
      <c r="E13" s="45" t="n">
        <v>0</v>
      </c>
      <c r="F13" s="45" t="n">
        <v>0</v>
      </c>
      <c r="G13" s="45" t="n">
        <v>6300</v>
      </c>
      <c r="H13" s="45" t="n">
        <f aca="false">SUM(B13:G13)</f>
        <v>7100</v>
      </c>
    </row>
    <row r="14" customFormat="false" ht="15" hidden="false" customHeight="false" outlineLevel="0" collapsed="false">
      <c r="A14" s="67" t="s">
        <v>274</v>
      </c>
      <c r="B14" s="68" t="n">
        <v>751.388733333</v>
      </c>
      <c r="C14" s="68" t="n">
        <v>699.279296753</v>
      </c>
      <c r="D14" s="68" t="n">
        <v>624.630672981</v>
      </c>
      <c r="E14" s="68" t="n">
        <v>541.251568421</v>
      </c>
      <c r="F14" s="68" t="n">
        <v>444.657691284</v>
      </c>
      <c r="G14" s="68" t="n">
        <v>6644.364747187</v>
      </c>
      <c r="H14" s="68" t="n">
        <f aca="false">G14</f>
        <v>6644.364747187</v>
      </c>
    </row>
    <row r="16" customFormat="false" ht="18.75" hidden="false" customHeight="true" outlineLevel="0" collapsed="false">
      <c r="A16" s="23" t="s">
        <v>300</v>
      </c>
      <c r="B16" s="23"/>
      <c r="C16" s="23"/>
      <c r="D16" s="23"/>
      <c r="E16" s="23"/>
      <c r="F16" s="23"/>
      <c r="G16" s="23"/>
      <c r="H16" s="23"/>
    </row>
    <row r="17" customFormat="false" ht="15" hidden="false" customHeight="false" outlineLevel="0" collapsed="false">
      <c r="A17" s="47" t="s">
        <v>301</v>
      </c>
      <c r="B17" s="69" t="n">
        <v>11</v>
      </c>
      <c r="C17" s="69" t="n">
        <v>12</v>
      </c>
      <c r="D17" s="69" t="n">
        <v>16</v>
      </c>
      <c r="E17" s="69" t="n">
        <v>22</v>
      </c>
      <c r="F17" s="69" t="n">
        <v>26</v>
      </c>
      <c r="G17" s="69" t="n">
        <v>27</v>
      </c>
      <c r="H17" s="69" t="n">
        <f aca="false">G17</f>
        <v>27</v>
      </c>
    </row>
    <row r="18" customFormat="false" ht="15" hidden="false" customHeight="false" outlineLevel="0" collapsed="false">
      <c r="A18" s="58" t="s">
        <v>302</v>
      </c>
      <c r="B18" s="26" t="n">
        <v>0</v>
      </c>
      <c r="C18" s="26" t="n">
        <v>0</v>
      </c>
      <c r="D18" s="26" t="n">
        <v>0</v>
      </c>
      <c r="E18" s="26" t="n">
        <v>60000</v>
      </c>
      <c r="F18" s="26" t="n">
        <v>120000</v>
      </c>
      <c r="G18" s="26" t="n">
        <v>180000</v>
      </c>
      <c r="H18" s="26" t="n">
        <f aca="false">SUM(B18:G18)</f>
        <v>360000</v>
      </c>
    </row>
    <row r="19" customFormat="false" ht="15" hidden="false" customHeight="false" outlineLevel="0" collapsed="false">
      <c r="A19" s="70" t="s">
        <v>303</v>
      </c>
      <c r="B19" s="29" t="n">
        <v>0</v>
      </c>
      <c r="C19" s="29" t="n">
        <v>0</v>
      </c>
      <c r="D19" s="29" t="n">
        <v>0</v>
      </c>
      <c r="E19" s="29" t="n">
        <v>60000</v>
      </c>
      <c r="F19" s="29" t="n">
        <v>120000</v>
      </c>
      <c r="G19" s="29" t="n">
        <v>180000</v>
      </c>
      <c r="H19" s="29" t="n">
        <f aca="false">SUM(B19:G19)</f>
        <v>360000</v>
      </c>
    </row>
    <row r="20" customFormat="false" ht="15" hidden="false" customHeight="false" outlineLevel="0" collapsed="false">
      <c r="A20" s="71" t="s">
        <v>304</v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f aca="false">SUM(B20:G20)</f>
        <v>0</v>
      </c>
    </row>
    <row r="21" customFormat="false" ht="15" hidden="false" customHeight="false" outlineLevel="0" collapsed="false">
      <c r="A21" s="41" t="s">
        <v>305</v>
      </c>
      <c r="B21" s="29" t="n">
        <v>0</v>
      </c>
      <c r="C21" s="29" t="n">
        <v>0</v>
      </c>
      <c r="D21" s="29" t="n">
        <v>0</v>
      </c>
      <c r="E21" s="29" t="n">
        <v>0</v>
      </c>
      <c r="F21" s="29" t="n">
        <v>0</v>
      </c>
      <c r="G21" s="29" t="n">
        <v>0</v>
      </c>
      <c r="H21" s="29" t="n">
        <f aca="false">G21</f>
        <v>0</v>
      </c>
    </row>
    <row r="23" customFormat="false" ht="18.75" hidden="false" customHeight="true" outlineLevel="0" collapsed="false">
      <c r="A23" s="23" t="s">
        <v>306</v>
      </c>
      <c r="B23" s="23"/>
      <c r="C23" s="23"/>
      <c r="D23" s="23"/>
      <c r="E23" s="23"/>
      <c r="F23" s="23"/>
      <c r="G23" s="23"/>
      <c r="H23" s="23"/>
    </row>
    <row r="24" customFormat="false" ht="16.5" hidden="false" customHeight="true" outlineLevel="0" collapsed="false">
      <c r="A24" s="11" t="s">
        <v>173</v>
      </c>
      <c r="B24" s="24" t="s">
        <v>113</v>
      </c>
      <c r="C24" s="24" t="s">
        <v>114</v>
      </c>
      <c r="D24" s="24" t="s">
        <v>115</v>
      </c>
      <c r="E24" s="24" t="s">
        <v>116</v>
      </c>
      <c r="F24" s="24" t="s">
        <v>117</v>
      </c>
      <c r="G24" s="24" t="s">
        <v>118</v>
      </c>
      <c r="H24" s="24" t="s">
        <v>174</v>
      </c>
    </row>
    <row r="25" customFormat="false" ht="15" hidden="false" customHeight="false" outlineLevel="0" collapsed="false">
      <c r="A25" s="58" t="s">
        <v>175</v>
      </c>
      <c r="B25" s="26" t="n">
        <v>4</v>
      </c>
      <c r="C25" s="26" t="n">
        <v>5</v>
      </c>
      <c r="D25" s="26" t="n">
        <v>5</v>
      </c>
      <c r="E25" s="26" t="n">
        <v>6</v>
      </c>
      <c r="F25" s="26" t="n">
        <v>6</v>
      </c>
      <c r="G25" s="26" t="n">
        <v>7</v>
      </c>
      <c r="H25" s="26" t="n">
        <v>34</v>
      </c>
    </row>
    <row r="26" customFormat="false" ht="15" hidden="false" customHeight="false" outlineLevel="0" collapsed="false">
      <c r="A26" s="41" t="s">
        <v>176</v>
      </c>
      <c r="B26" s="29" t="n">
        <v>1</v>
      </c>
      <c r="C26" s="29" t="n">
        <v>1</v>
      </c>
      <c r="D26" s="29" t="n">
        <v>2</v>
      </c>
      <c r="E26" s="29" t="n">
        <v>2</v>
      </c>
      <c r="F26" s="29" t="n">
        <v>3</v>
      </c>
      <c r="G26" s="29" t="n">
        <v>3</v>
      </c>
      <c r="H26" s="29" t="n">
        <v>38</v>
      </c>
    </row>
    <row r="27" customFormat="false" ht="15" hidden="false" customHeight="false" outlineLevel="0" collapsed="false">
      <c r="A27" s="58" t="s">
        <v>177</v>
      </c>
      <c r="B27" s="26" t="n">
        <v>1</v>
      </c>
      <c r="C27" s="26" t="n">
        <v>1</v>
      </c>
      <c r="D27" s="26" t="n">
        <v>1</v>
      </c>
      <c r="E27" s="26" t="n">
        <v>2</v>
      </c>
      <c r="F27" s="26" t="n">
        <v>2</v>
      </c>
      <c r="G27" s="26" t="n">
        <v>2</v>
      </c>
      <c r="H27" s="26" t="n">
        <v>30</v>
      </c>
    </row>
    <row r="28" customFormat="false" ht="15" hidden="false" customHeight="false" outlineLevel="0" collapsed="false">
      <c r="A28" s="41" t="s">
        <v>178</v>
      </c>
      <c r="B28" s="29" t="n">
        <v>2</v>
      </c>
      <c r="C28" s="29" t="n">
        <v>2</v>
      </c>
      <c r="D28" s="29" t="n">
        <v>2</v>
      </c>
      <c r="E28" s="29" t="n">
        <v>3</v>
      </c>
      <c r="F28" s="29" t="n">
        <v>3</v>
      </c>
      <c r="G28" s="29" t="n">
        <v>3</v>
      </c>
      <c r="H28" s="29" t="n">
        <v>30</v>
      </c>
    </row>
    <row r="29" customFormat="false" ht="15" hidden="false" customHeight="false" outlineLevel="0" collapsed="false">
      <c r="A29" s="58" t="s">
        <v>179</v>
      </c>
      <c r="B29" s="26" t="n">
        <v>0</v>
      </c>
      <c r="C29" s="26" t="n">
        <v>0</v>
      </c>
      <c r="D29" s="26" t="n">
        <v>1</v>
      </c>
      <c r="E29" s="26" t="n">
        <v>1</v>
      </c>
      <c r="F29" s="26" t="n">
        <v>2</v>
      </c>
      <c r="G29" s="26" t="n">
        <v>2</v>
      </c>
      <c r="H29" s="26" t="n">
        <v>32</v>
      </c>
    </row>
    <row r="30" customFormat="false" ht="15" hidden="false" customHeight="false" outlineLevel="0" collapsed="false">
      <c r="A30" s="41" t="s">
        <v>180</v>
      </c>
      <c r="B30" s="29" t="n">
        <v>1</v>
      </c>
      <c r="C30" s="29" t="n">
        <v>1</v>
      </c>
      <c r="D30" s="29" t="n">
        <v>1</v>
      </c>
      <c r="E30" s="29" t="n">
        <v>2</v>
      </c>
      <c r="F30" s="29" t="n">
        <v>2</v>
      </c>
      <c r="G30" s="29" t="n">
        <v>2</v>
      </c>
      <c r="H30" s="29" t="n">
        <v>28</v>
      </c>
    </row>
    <row r="31" customFormat="false" ht="15" hidden="false" customHeight="false" outlineLevel="0" collapsed="false">
      <c r="A31" s="58" t="s">
        <v>181</v>
      </c>
      <c r="B31" s="26" t="n">
        <v>0</v>
      </c>
      <c r="C31" s="26" t="n">
        <v>0</v>
      </c>
      <c r="D31" s="26" t="n">
        <v>1</v>
      </c>
      <c r="E31" s="26" t="n">
        <v>1</v>
      </c>
      <c r="F31" s="26" t="n">
        <v>2</v>
      </c>
      <c r="G31" s="26" t="n">
        <v>2</v>
      </c>
      <c r="H31" s="26" t="n">
        <v>26</v>
      </c>
    </row>
    <row r="32" customFormat="false" ht="15" hidden="false" customHeight="false" outlineLevel="0" collapsed="false">
      <c r="A32" s="41" t="s">
        <v>182</v>
      </c>
      <c r="B32" s="29" t="n">
        <v>1</v>
      </c>
      <c r="C32" s="29" t="n">
        <v>1</v>
      </c>
      <c r="D32" s="29" t="n">
        <v>2</v>
      </c>
      <c r="E32" s="29" t="n">
        <v>2</v>
      </c>
      <c r="F32" s="29" t="n">
        <v>3</v>
      </c>
      <c r="G32" s="29" t="n">
        <v>3</v>
      </c>
      <c r="H32" s="29" t="n">
        <v>27</v>
      </c>
    </row>
    <row r="33" customFormat="false" ht="15" hidden="false" customHeight="false" outlineLevel="0" collapsed="false">
      <c r="A33" s="58" t="s">
        <v>183</v>
      </c>
      <c r="B33" s="26" t="n">
        <v>0</v>
      </c>
      <c r="C33" s="26" t="n">
        <v>0</v>
      </c>
      <c r="D33" s="26" t="n">
        <v>0</v>
      </c>
      <c r="E33" s="26" t="n">
        <v>1</v>
      </c>
      <c r="F33" s="26" t="n">
        <v>1</v>
      </c>
      <c r="G33" s="26" t="n">
        <v>1</v>
      </c>
      <c r="H33" s="26" t="n">
        <v>36</v>
      </c>
    </row>
    <row r="34" customFormat="false" ht="15" hidden="false" customHeight="false" outlineLevel="0" collapsed="false">
      <c r="A34" s="41" t="s">
        <v>184</v>
      </c>
      <c r="B34" s="29" t="n">
        <v>1</v>
      </c>
      <c r="C34" s="29" t="n">
        <v>1</v>
      </c>
      <c r="D34" s="29" t="n">
        <v>1</v>
      </c>
      <c r="E34" s="29" t="n">
        <v>2</v>
      </c>
      <c r="F34" s="29" t="n">
        <v>2</v>
      </c>
      <c r="G34" s="29" t="n">
        <v>2</v>
      </c>
      <c r="H34" s="29" t="n">
        <v>24</v>
      </c>
    </row>
    <row r="35" customFormat="false" ht="15" hidden="false" customHeight="false" outlineLevel="0" collapsed="false">
      <c r="A35" s="38" t="s">
        <v>185</v>
      </c>
      <c r="B35" s="40" t="n">
        <f aca="false">SUM(B25:B34)</f>
        <v>11</v>
      </c>
      <c r="C35" s="40" t="n">
        <f aca="false">SUM(C25:C34)</f>
        <v>12</v>
      </c>
      <c r="D35" s="40" t="n">
        <f aca="false">SUM(D25:D34)</f>
        <v>16</v>
      </c>
      <c r="E35" s="40" t="n">
        <f aca="false">SUM(E25:E34)</f>
        <v>22</v>
      </c>
      <c r="F35" s="40" t="n">
        <f aca="false">SUM(F25:F34)</f>
        <v>26</v>
      </c>
      <c r="G35" s="40" t="n">
        <f aca="false">SUM(G25:G34)</f>
        <v>27</v>
      </c>
    </row>
    <row r="36" customFormat="false" ht="15" hidden="false" customHeight="false" outlineLevel="0" collapsed="false">
      <c r="A36" s="15" t="s">
        <v>307</v>
      </c>
      <c r="B36" s="15"/>
      <c r="C36" s="15"/>
      <c r="D36" s="15"/>
      <c r="E36" s="15"/>
      <c r="F36" s="15"/>
      <c r="G36" s="15"/>
      <c r="H36" s="15"/>
    </row>
  </sheetData>
  <mergeCells count="6">
    <mergeCell ref="A1:H1"/>
    <mergeCell ref="A2:H2"/>
    <mergeCell ref="A3:H3"/>
    <mergeCell ref="A16:H16"/>
    <mergeCell ref="A23:H23"/>
    <mergeCell ref="A36:H36"/>
  </mergeCells>
  <conditionalFormatting sqref="B6:H37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4"/>
  </cols>
  <sheetData>
    <row r="1" customFormat="false" ht="30" hidden="false" customHeight="true" outlineLevel="0" collapsed="false">
      <c r="A1" s="20" t="s">
        <v>308</v>
      </c>
      <c r="B1" s="20"/>
      <c r="C1" s="20"/>
      <c r="D1" s="20"/>
      <c r="E1" s="20"/>
      <c r="F1" s="20"/>
      <c r="G1" s="20"/>
    </row>
    <row r="2" customFormat="false" ht="15.75" hidden="false" customHeight="true" outlineLevel="0" collapsed="false">
      <c r="A2" s="21" t="s">
        <v>309</v>
      </c>
      <c r="B2" s="21"/>
      <c r="C2" s="21"/>
      <c r="D2" s="21"/>
      <c r="E2" s="21"/>
      <c r="F2" s="21"/>
      <c r="G2" s="21"/>
    </row>
    <row r="3" customFormat="false" ht="13.5" hidden="false" customHeight="true" outlineLevel="0" collapsed="false">
      <c r="A3" s="22" t="s">
        <v>310</v>
      </c>
      <c r="B3" s="22"/>
      <c r="C3" s="22"/>
      <c r="D3" s="22"/>
      <c r="E3" s="22"/>
      <c r="F3" s="22"/>
      <c r="G3" s="22"/>
    </row>
    <row r="5" customFormat="false" ht="16.5" hidden="false" customHeight="true" outlineLevel="0" collapsed="false">
      <c r="A5" s="11" t="s">
        <v>257</v>
      </c>
      <c r="B5" s="24" t="s">
        <v>311</v>
      </c>
      <c r="C5" s="24" t="s">
        <v>312</v>
      </c>
      <c r="D5" s="24" t="s">
        <v>313</v>
      </c>
      <c r="E5" s="24" t="s">
        <v>314</v>
      </c>
      <c r="F5" s="24" t="s">
        <v>259</v>
      </c>
    </row>
    <row r="6" customFormat="false" ht="15" hidden="false" customHeight="false" outlineLevel="0" collapsed="false">
      <c r="A6" s="47" t="s">
        <v>263</v>
      </c>
      <c r="B6" s="48" t="n">
        <v>0.0408</v>
      </c>
      <c r="C6" s="48" t="n">
        <v>0.222170281</v>
      </c>
      <c r="D6" s="48" t="n">
        <v>0.562260222</v>
      </c>
      <c r="E6" s="48" t="n">
        <v>1.0649019591</v>
      </c>
      <c r="F6" s="48" t="n">
        <f aca="false">SUM(B6:E6)</f>
        <v>1.8901324621</v>
      </c>
    </row>
    <row r="7" customFormat="false" ht="15" hidden="false" customHeight="false" outlineLevel="0" collapsed="false">
      <c r="A7" s="58" t="s">
        <v>264</v>
      </c>
      <c r="B7" s="43" t="n">
        <v>0.1497348273</v>
      </c>
      <c r="C7" s="43" t="n">
        <v>0.2901453925</v>
      </c>
      <c r="D7" s="43" t="n">
        <v>0.4925685379</v>
      </c>
      <c r="E7" s="43" t="n">
        <v>0.7425467571</v>
      </c>
      <c r="F7" s="43" t="n">
        <f aca="false">SUM(B7:E7)</f>
        <v>1.6749955148</v>
      </c>
    </row>
    <row r="8" customFormat="false" ht="15" hidden="false" customHeight="false" outlineLevel="0" collapsed="false">
      <c r="A8" s="47" t="s">
        <v>265</v>
      </c>
      <c r="B8" s="48" t="n">
        <f aca="false">B6-B7</f>
        <v>-0.1089348273</v>
      </c>
      <c r="C8" s="48" t="n">
        <f aca="false">C6-C7</f>
        <v>-0.0679751115</v>
      </c>
      <c r="D8" s="48" t="n">
        <f aca="false">D6-D7</f>
        <v>0.0696916841</v>
      </c>
      <c r="E8" s="48" t="n">
        <f aca="false">E6-E7</f>
        <v>0.322355202</v>
      </c>
      <c r="F8" s="48" t="n">
        <f aca="false">F6-F7</f>
        <v>0.2151369473</v>
      </c>
    </row>
    <row r="9" customFormat="false" ht="15" hidden="false" customHeight="false" outlineLevel="0" collapsed="false">
      <c r="A9" s="58" t="s">
        <v>266</v>
      </c>
      <c r="B9" s="35" t="n">
        <f aca="false">IFERROR(B8/B6,"n/m")</f>
        <v>-2.66997125735294</v>
      </c>
      <c r="C9" s="35" t="n">
        <f aca="false">IFERROR(C8/C6,"n/m")</f>
        <v>-0.3059595153503</v>
      </c>
      <c r="D9" s="35" t="n">
        <f aca="false">IFERROR(D8/D6,"n/m")</f>
        <v>0.123949163346647</v>
      </c>
      <c r="E9" s="35" t="n">
        <f aca="false">IFERROR(E8/E6,"n/m")</f>
        <v>0.302708807365176</v>
      </c>
      <c r="F9" s="35" t="n">
        <f aca="false">IFERROR(F8/F6,"n/m")</f>
        <v>0.113821095406708</v>
      </c>
    </row>
    <row r="10" customFormat="false" ht="15" hidden="false" customHeight="false" outlineLevel="0" collapsed="false">
      <c r="A10" s="41" t="s">
        <v>267</v>
      </c>
      <c r="B10" s="45" t="n">
        <v>4.137385921</v>
      </c>
      <c r="C10" s="45" t="n">
        <v>5.7045407739</v>
      </c>
      <c r="D10" s="45" t="n">
        <v>7.6399772887</v>
      </c>
      <c r="E10" s="45" t="n">
        <v>9.459636339</v>
      </c>
      <c r="F10" s="45" t="n">
        <f aca="false">SUM(B10:E10)</f>
        <v>26.9415403226</v>
      </c>
    </row>
    <row r="11" customFormat="false" ht="15" hidden="false" customHeight="false" outlineLevel="0" collapsed="false">
      <c r="A11" s="38" t="s">
        <v>268</v>
      </c>
      <c r="B11" s="46" t="n">
        <f aca="false">B8-B10</f>
        <v>-4.2463207483</v>
      </c>
      <c r="C11" s="46" t="n">
        <f aca="false">C8-C10</f>
        <v>-5.7725158854</v>
      </c>
      <c r="D11" s="46" t="n">
        <f aca="false">D8-D10</f>
        <v>-7.5702856046</v>
      </c>
      <c r="E11" s="46" t="n">
        <f aca="false">E8-E10</f>
        <v>-9.137281137</v>
      </c>
      <c r="F11" s="46" t="n">
        <f aca="false">F8-F10</f>
        <v>-26.7264033753</v>
      </c>
    </row>
    <row r="12" customFormat="false" ht="15" hidden="false" customHeight="false" outlineLevel="0" collapsed="false">
      <c r="A12" s="58" t="s">
        <v>269</v>
      </c>
      <c r="B12" s="43" t="n">
        <v>0.3395068358</v>
      </c>
      <c r="C12" s="43" t="n">
        <v>0.4819652757</v>
      </c>
      <c r="D12" s="43" t="n">
        <v>0.645896555</v>
      </c>
      <c r="E12" s="43" t="n">
        <v>0.8162185198</v>
      </c>
      <c r="F12" s="43" t="n">
        <f aca="false">SUM(B12:E12)</f>
        <v>2.2835871863</v>
      </c>
    </row>
    <row r="13" customFormat="false" ht="15" hidden="false" customHeight="false" outlineLevel="0" collapsed="false">
      <c r="A13" s="47" t="s">
        <v>270</v>
      </c>
      <c r="B13" s="48" t="n">
        <f aca="false">B11-B12</f>
        <v>-4.5858275841</v>
      </c>
      <c r="C13" s="48" t="n">
        <f aca="false">C11-C12</f>
        <v>-6.2544811611</v>
      </c>
      <c r="D13" s="48" t="n">
        <f aca="false">D11-D12</f>
        <v>-8.2161821596</v>
      </c>
      <c r="E13" s="48" t="n">
        <f aca="false">E11-E12</f>
        <v>-9.9534996568</v>
      </c>
      <c r="F13" s="48" t="n">
        <f aca="false">F11-F12</f>
        <v>-29.0099905616</v>
      </c>
    </row>
    <row r="15" customFormat="false" ht="18.75" hidden="false" customHeight="true" outlineLevel="0" collapsed="false">
      <c r="A15" s="23" t="s">
        <v>315</v>
      </c>
      <c r="B15" s="23"/>
      <c r="C15" s="23"/>
      <c r="D15" s="23"/>
      <c r="E15" s="23"/>
      <c r="F15" s="23"/>
      <c r="G15" s="23"/>
    </row>
    <row r="16" customFormat="false" ht="15" hidden="false" customHeight="false" outlineLevel="0" collapsed="false">
      <c r="A16" s="47" t="s">
        <v>273</v>
      </c>
      <c r="B16" s="48" t="n">
        <v>0.2016</v>
      </c>
      <c r="C16" s="48" t="n">
        <v>1.237902709</v>
      </c>
      <c r="D16" s="48" t="n">
        <v>2.7664545395</v>
      </c>
      <c r="E16" s="48" t="n">
        <v>5.0192216089</v>
      </c>
      <c r="F16" s="48" t="n">
        <f aca="false">E16</f>
        <v>5.0192216089</v>
      </c>
    </row>
    <row r="17" customFormat="false" ht="15" hidden="false" customHeight="false" outlineLevel="0" collapsed="false">
      <c r="A17" s="59" t="s">
        <v>274</v>
      </c>
      <c r="B17" s="60" t="n">
        <v>62.0025267236</v>
      </c>
      <c r="C17" s="60" t="n">
        <v>56.0390534437</v>
      </c>
      <c r="D17" s="60" t="n">
        <v>48.1956753714</v>
      </c>
      <c r="E17" s="60" t="n">
        <v>38.6667663199</v>
      </c>
      <c r="F17" s="60" t="n">
        <f aca="false">E17</f>
        <v>38.6667663199</v>
      </c>
    </row>
    <row r="18" customFormat="false" ht="15" hidden="false" customHeight="false" outlineLevel="0" collapsed="false">
      <c r="A18" s="41" t="s">
        <v>48</v>
      </c>
      <c r="B18" s="29" t="n">
        <v>44</v>
      </c>
      <c r="C18" s="29" t="n">
        <v>59</v>
      </c>
      <c r="D18" s="29" t="n">
        <v>76</v>
      </c>
      <c r="E18" s="29" t="n">
        <v>95</v>
      </c>
      <c r="F18" s="29" t="n">
        <f aca="false">E18</f>
        <v>95</v>
      </c>
    </row>
    <row r="19" customFormat="false" ht="15" hidden="false" customHeight="false" outlineLevel="0" collapsed="false">
      <c r="A19" s="58" t="s">
        <v>316</v>
      </c>
      <c r="B19" s="26" t="n">
        <v>0</v>
      </c>
      <c r="C19" s="26" t="n">
        <v>9</v>
      </c>
      <c r="D19" s="26" t="n">
        <v>21</v>
      </c>
      <c r="E19" s="26" t="n">
        <v>39</v>
      </c>
      <c r="F19" s="26" t="n">
        <f aca="false">E19</f>
        <v>39</v>
      </c>
    </row>
    <row r="20" customFormat="false" ht="15" hidden="false" customHeight="false" outlineLevel="0" collapsed="false">
      <c r="A20" s="41" t="s">
        <v>317</v>
      </c>
      <c r="B20" s="29" t="n">
        <v>0</v>
      </c>
      <c r="C20" s="29" t="n">
        <v>0</v>
      </c>
      <c r="D20" s="29" t="n">
        <v>2</v>
      </c>
      <c r="E20" s="29" t="n">
        <v>6</v>
      </c>
      <c r="F20" s="29" t="n">
        <f aca="false">E20</f>
        <v>6</v>
      </c>
    </row>
    <row r="21" customFormat="false" ht="15" hidden="false" customHeight="false" outlineLevel="0" collapsed="false">
      <c r="A21" s="58" t="s">
        <v>318</v>
      </c>
      <c r="B21" s="34" t="n">
        <v>1.02</v>
      </c>
      <c r="C21" s="34" t="n">
        <v>3.6048</v>
      </c>
      <c r="D21" s="34" t="n">
        <v>7.8953</v>
      </c>
      <c r="E21" s="34" t="n">
        <v>13.8045</v>
      </c>
      <c r="F21" s="34" t="n">
        <f aca="false">SUM(B21:E21)</f>
        <v>26.3246</v>
      </c>
    </row>
    <row r="23" customFormat="false" ht="18.75" hidden="false" customHeight="true" outlineLevel="0" collapsed="false">
      <c r="A23" s="23" t="s">
        <v>319</v>
      </c>
      <c r="B23" s="23"/>
      <c r="C23" s="23"/>
      <c r="D23" s="23"/>
      <c r="E23" s="23"/>
      <c r="F23" s="23"/>
      <c r="G23" s="23"/>
    </row>
    <row r="24" customFormat="false" ht="16.5" hidden="false" customHeight="true" outlineLevel="0" collapsed="false">
      <c r="A24" s="11" t="s">
        <v>320</v>
      </c>
      <c r="B24" s="24" t="s">
        <v>263</v>
      </c>
      <c r="C24" s="24" t="s">
        <v>268</v>
      </c>
      <c r="D24" s="24" t="s">
        <v>273</v>
      </c>
      <c r="E24" s="24" t="s">
        <v>274</v>
      </c>
      <c r="F24" s="24" t="s">
        <v>316</v>
      </c>
    </row>
    <row r="25" customFormat="false" ht="15" hidden="false" customHeight="false" outlineLevel="0" collapsed="false">
      <c r="A25" s="58" t="s">
        <v>321</v>
      </c>
      <c r="B25" s="43" t="n">
        <v>0</v>
      </c>
      <c r="C25" s="43" t="n">
        <v>-1.7232132702</v>
      </c>
      <c r="D25" s="43" t="n">
        <v>0</v>
      </c>
      <c r="E25" s="43" t="n">
        <v>6.2463067298</v>
      </c>
      <c r="F25" s="26" t="n">
        <v>0</v>
      </c>
    </row>
    <row r="26" customFormat="false" ht="15" hidden="false" customHeight="false" outlineLevel="0" collapsed="false">
      <c r="A26" s="41" t="s">
        <v>322</v>
      </c>
      <c r="B26" s="45" t="n">
        <v>0.0144</v>
      </c>
      <c r="C26" s="45" t="n">
        <v>-2.7606592579</v>
      </c>
      <c r="D26" s="45" t="n">
        <v>0.0864</v>
      </c>
      <c r="E26" s="45" t="n">
        <v>66.4436474719</v>
      </c>
      <c r="F26" s="29" t="n">
        <v>0</v>
      </c>
    </row>
    <row r="27" customFormat="false" ht="15" hidden="false" customHeight="false" outlineLevel="0" collapsed="false">
      <c r="A27" s="58" t="s">
        <v>323</v>
      </c>
      <c r="B27" s="43" t="n">
        <v>0.0408</v>
      </c>
      <c r="C27" s="43" t="n">
        <v>-4.2463207483</v>
      </c>
      <c r="D27" s="43" t="n">
        <v>0.2016</v>
      </c>
      <c r="E27" s="43" t="n">
        <v>62.0025267236</v>
      </c>
      <c r="F27" s="26" t="n">
        <v>0</v>
      </c>
    </row>
    <row r="28" customFormat="false" ht="15" hidden="false" customHeight="false" outlineLevel="0" collapsed="false">
      <c r="A28" s="41" t="s">
        <v>324</v>
      </c>
      <c r="B28" s="45" t="n">
        <v>0.222170281</v>
      </c>
      <c r="C28" s="45" t="n">
        <v>-5.7725158854</v>
      </c>
      <c r="D28" s="45" t="n">
        <v>1.237902709</v>
      </c>
      <c r="E28" s="45" t="n">
        <v>56.0390534437</v>
      </c>
      <c r="F28" s="29" t="n">
        <v>9</v>
      </c>
    </row>
    <row r="29" customFormat="false" ht="15" hidden="false" customHeight="false" outlineLevel="0" collapsed="false">
      <c r="A29" s="58" t="s">
        <v>325</v>
      </c>
      <c r="B29" s="43" t="n">
        <v>0.562260222</v>
      </c>
      <c r="C29" s="43" t="n">
        <v>-7.5702856047</v>
      </c>
      <c r="D29" s="43" t="n">
        <v>2.7664545395</v>
      </c>
      <c r="E29" s="43" t="n">
        <v>48.1956753714</v>
      </c>
      <c r="F29" s="26" t="n">
        <v>21</v>
      </c>
    </row>
    <row r="30" customFormat="false" ht="15" hidden="false" customHeight="false" outlineLevel="0" collapsed="false">
      <c r="A30" s="41" t="s">
        <v>326</v>
      </c>
      <c r="B30" s="45" t="n">
        <v>1.0649019591</v>
      </c>
      <c r="C30" s="45" t="n">
        <v>-9.1372811369</v>
      </c>
      <c r="D30" s="45" t="n">
        <v>5.0192216089</v>
      </c>
      <c r="E30" s="45" t="n">
        <v>38.6667663199</v>
      </c>
      <c r="F30" s="29" t="n">
        <v>39</v>
      </c>
    </row>
    <row r="31" customFormat="false" ht="15" hidden="false" customHeight="false" outlineLevel="0" collapsed="false">
      <c r="A31" s="58" t="s">
        <v>327</v>
      </c>
      <c r="B31" s="43" t="n">
        <v>2.0478631418</v>
      </c>
      <c r="C31" s="43" t="n">
        <v>-10.7148074557</v>
      </c>
      <c r="D31" s="43" t="n">
        <v>9.6046265879</v>
      </c>
      <c r="E31" s="43" t="n">
        <v>27.0686797578</v>
      </c>
      <c r="F31" s="26" t="n">
        <v>59</v>
      </c>
    </row>
    <row r="32" customFormat="false" ht="15" hidden="false" customHeight="false" outlineLevel="0" collapsed="false">
      <c r="A32" s="41" t="s">
        <v>328</v>
      </c>
      <c r="B32" s="45" t="n">
        <v>3.3398866644</v>
      </c>
      <c r="C32" s="45" t="n">
        <v>-11.9994384343</v>
      </c>
      <c r="D32" s="45" t="n">
        <v>15.3534296596</v>
      </c>
      <c r="E32" s="45" t="n">
        <v>14.1320956552</v>
      </c>
      <c r="F32" s="29" t="n">
        <v>84</v>
      </c>
    </row>
    <row r="33" customFormat="false" ht="15" hidden="false" customHeight="false" outlineLevel="0" collapsed="false">
      <c r="A33" s="58" t="s">
        <v>329</v>
      </c>
      <c r="B33" s="43" t="n">
        <v>5.1549781047</v>
      </c>
      <c r="C33" s="43" t="n">
        <v>-13.4984151861</v>
      </c>
      <c r="D33" s="43" t="n">
        <v>23.4150855297</v>
      </c>
      <c r="E33" s="43" t="n">
        <v>71.3672271188</v>
      </c>
      <c r="F33" s="26" t="n">
        <v>114</v>
      </c>
    </row>
    <row r="34" customFormat="false" ht="15" hidden="false" customHeight="false" outlineLevel="0" collapsed="false">
      <c r="A34" s="41" t="s">
        <v>330</v>
      </c>
      <c r="B34" s="45" t="n">
        <v>7.5348035525</v>
      </c>
      <c r="C34" s="45" t="n">
        <v>-14.5205071645</v>
      </c>
      <c r="D34" s="45" t="n">
        <v>33.6792230796</v>
      </c>
      <c r="E34" s="45" t="n">
        <v>55.2298258029</v>
      </c>
      <c r="F34" s="29" t="n">
        <v>148</v>
      </c>
    </row>
    <row r="35" customFormat="false" ht="15" hidden="false" customHeight="false" outlineLevel="0" collapsed="false">
      <c r="A35" s="58" t="s">
        <v>331</v>
      </c>
      <c r="B35" s="43" t="n">
        <v>10.7358627927</v>
      </c>
      <c r="C35" s="43" t="n">
        <v>-14.2758318762</v>
      </c>
      <c r="D35" s="43" t="n">
        <v>48.1389730473</v>
      </c>
      <c r="E35" s="43" t="n">
        <v>38.5873850274</v>
      </c>
      <c r="F35" s="26" t="n">
        <v>186</v>
      </c>
    </row>
    <row r="36" customFormat="false" ht="15" hidden="false" customHeight="false" outlineLevel="0" collapsed="false">
      <c r="A36" s="41" t="s">
        <v>332</v>
      </c>
      <c r="B36" s="45" t="n">
        <v>16.7561422572</v>
      </c>
      <c r="C36" s="45" t="n">
        <v>-13.0725424953</v>
      </c>
      <c r="D36" s="45" t="n">
        <v>74.7864117917</v>
      </c>
      <c r="E36" s="45" t="n">
        <v>66.4334925843</v>
      </c>
      <c r="F36" s="29" t="n">
        <v>226</v>
      </c>
    </row>
    <row r="37" customFormat="false" ht="15" hidden="false" customHeight="false" outlineLevel="0" collapsed="false">
      <c r="A37" s="58" t="s">
        <v>333</v>
      </c>
      <c r="B37" s="43" t="n">
        <v>23.1145506325</v>
      </c>
      <c r="C37" s="43" t="n">
        <v>-10.8542714675</v>
      </c>
      <c r="D37" s="43" t="n">
        <v>101.6944367314</v>
      </c>
      <c r="E37" s="43" t="n">
        <v>51.4774891396</v>
      </c>
      <c r="F37" s="26" t="n">
        <v>268</v>
      </c>
    </row>
    <row r="38" customFormat="false" ht="15" hidden="false" customHeight="false" outlineLevel="0" collapsed="false">
      <c r="A38" s="41" t="s">
        <v>334</v>
      </c>
      <c r="B38" s="45" t="n">
        <v>30.5734322077</v>
      </c>
      <c r="C38" s="45" t="n">
        <v>-8.2785299841</v>
      </c>
      <c r="D38" s="45" t="n">
        <v>133.0368786499</v>
      </c>
      <c r="E38" s="45" t="n">
        <v>38.4114273596</v>
      </c>
      <c r="F38" s="29" t="n">
        <v>312</v>
      </c>
    </row>
    <row r="39" customFormat="false" ht="15" hidden="false" customHeight="false" outlineLevel="0" collapsed="false">
      <c r="A39" s="58" t="s">
        <v>335</v>
      </c>
      <c r="B39" s="43" t="n">
        <v>39.3450869398</v>
      </c>
      <c r="C39" s="43" t="n">
        <v>-4.2353226618</v>
      </c>
      <c r="D39" s="43" t="n">
        <v>169.647241291</v>
      </c>
      <c r="E39" s="43" t="n">
        <v>28.4939832039</v>
      </c>
      <c r="F39" s="26" t="n">
        <v>362</v>
      </c>
    </row>
    <row r="40" customFormat="false" ht="15" hidden="false" customHeight="false" outlineLevel="0" collapsed="false">
      <c r="A40" s="41" t="s">
        <v>336</v>
      </c>
      <c r="B40" s="45" t="n">
        <v>50.0147032196</v>
      </c>
      <c r="C40" s="45" t="n">
        <v>1.0800783884</v>
      </c>
      <c r="D40" s="45" t="n">
        <v>215.7891776746</v>
      </c>
      <c r="E40" s="45" t="n">
        <v>22.579995562</v>
      </c>
      <c r="F40" s="29" t="n">
        <v>416</v>
      </c>
    </row>
    <row r="41" customFormat="false" ht="15" hidden="false" customHeight="false" outlineLevel="0" collapsed="false">
      <c r="A41" s="58" t="s">
        <v>337</v>
      </c>
      <c r="B41" s="43" t="n">
        <v>62.8766346149</v>
      </c>
      <c r="C41" s="43" t="n">
        <v>8.3293742302</v>
      </c>
      <c r="D41" s="43" t="n">
        <v>269.9805884994</v>
      </c>
      <c r="E41" s="43" t="n">
        <v>22.7234936405</v>
      </c>
      <c r="F41" s="26" t="n">
        <v>476</v>
      </c>
    </row>
    <row r="42" customFormat="false" ht="15" hidden="false" customHeight="false" outlineLevel="0" collapsed="false">
      <c r="A42" s="41" t="s">
        <v>338</v>
      </c>
      <c r="B42" s="45" t="n">
        <v>78.0811296403</v>
      </c>
      <c r="C42" s="45" t="n">
        <v>17.4018210835</v>
      </c>
      <c r="D42" s="45" t="n">
        <v>334.2254412563</v>
      </c>
      <c r="E42" s="45" t="n">
        <v>30.4094963634</v>
      </c>
      <c r="F42" s="29" t="n">
        <v>545</v>
      </c>
    </row>
    <row r="43" customFormat="false" ht="15" hidden="false" customHeight="false" outlineLevel="0" collapsed="false">
      <c r="A43" s="38" t="s">
        <v>339</v>
      </c>
      <c r="B43" s="46" t="n">
        <f aca="false">SUM(B25:B42)</f>
        <v>331.4796062302</v>
      </c>
      <c r="C43" s="46" t="n">
        <f aca="false">SUM(C25:C42)</f>
        <v>-105.8486689268</v>
      </c>
      <c r="D43" s="46" t="n">
        <f aca="false">D42</f>
        <v>334.2254412563</v>
      </c>
      <c r="E43" s="46" t="n">
        <f aca="false">E42</f>
        <v>30.4094963634</v>
      </c>
      <c r="F43" s="40" t="n">
        <f aca="false">F42</f>
        <v>545</v>
      </c>
    </row>
    <row r="44" customFormat="false" ht="15" hidden="false" customHeight="false" outlineLevel="0" collapsed="false">
      <c r="A44" s="15" t="s">
        <v>340</v>
      </c>
      <c r="B44" s="15"/>
      <c r="C44" s="15"/>
      <c r="D44" s="15"/>
      <c r="E44" s="15"/>
      <c r="F44" s="15"/>
      <c r="G44" s="15"/>
    </row>
  </sheetData>
  <mergeCells count="6">
    <mergeCell ref="A1:G1"/>
    <mergeCell ref="A2:G2"/>
    <mergeCell ref="A3:G3"/>
    <mergeCell ref="A15:G15"/>
    <mergeCell ref="A23:G23"/>
    <mergeCell ref="A44:G44"/>
  </mergeCells>
  <conditionalFormatting sqref="B6:G45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</cols>
  <sheetData>
    <row r="1" customFormat="false" ht="30" hidden="false" customHeight="true" outlineLevel="0" collapsed="false">
      <c r="A1" s="20" t="s">
        <v>341</v>
      </c>
      <c r="B1" s="20"/>
      <c r="C1" s="20"/>
      <c r="D1" s="20"/>
      <c r="E1" s="20"/>
    </row>
    <row r="2" customFormat="false" ht="15.75" hidden="false" customHeight="true" outlineLevel="0" collapsed="false">
      <c r="A2" s="21" t="s">
        <v>342</v>
      </c>
      <c r="B2" s="21"/>
      <c r="C2" s="21"/>
      <c r="D2" s="21"/>
      <c r="E2" s="21"/>
    </row>
    <row r="3" customFormat="false" ht="13.5" hidden="false" customHeight="true" outlineLevel="0" collapsed="false">
      <c r="A3" s="22" t="s">
        <v>343</v>
      </c>
      <c r="B3" s="22"/>
      <c r="C3" s="22"/>
      <c r="D3" s="22"/>
      <c r="E3" s="22"/>
    </row>
    <row r="5" customFormat="false" ht="16.5" hidden="false" customHeight="true" outlineLevel="0" collapsed="false">
      <c r="A5" s="11" t="s">
        <v>257</v>
      </c>
      <c r="B5" s="24" t="s">
        <v>260</v>
      </c>
      <c r="C5" s="24" t="s">
        <v>261</v>
      </c>
      <c r="D5" s="24" t="s">
        <v>262</v>
      </c>
      <c r="E5" s="24" t="s">
        <v>344</v>
      </c>
    </row>
    <row r="6" customFormat="false" ht="15" hidden="false" customHeight="false" outlineLevel="0" collapsed="false">
      <c r="A6" s="47" t="s">
        <v>263</v>
      </c>
      <c r="B6" s="48" t="n">
        <v>18.0775314634</v>
      </c>
      <c r="C6" s="48" t="n">
        <v>81.1799878901</v>
      </c>
      <c r="D6" s="48" t="n">
        <v>230.3175544147</v>
      </c>
      <c r="E6" s="72" t="n">
        <f aca="false">(D6/B6)^(1/2)-1</f>
        <v>2.56938962666613</v>
      </c>
    </row>
    <row r="7" customFormat="false" ht="15" hidden="false" customHeight="false" outlineLevel="0" collapsed="false">
      <c r="A7" s="58" t="s">
        <v>264</v>
      </c>
      <c r="B7" s="43" t="n">
        <v>6.8355136448</v>
      </c>
      <c r="C7" s="43" t="n">
        <v>16.5669364541</v>
      </c>
      <c r="D7" s="43" t="n">
        <v>32.2453123787</v>
      </c>
      <c r="E7" s="43" t="n">
        <f aca="false">SUM(B7:D7)</f>
        <v>55.6477624776</v>
      </c>
    </row>
    <row r="8" customFormat="false" ht="15" hidden="false" customHeight="false" outlineLevel="0" collapsed="false">
      <c r="A8" s="47" t="s">
        <v>265</v>
      </c>
      <c r="B8" s="48" t="n">
        <f aca="false">B6-B7</f>
        <v>11.2420178186</v>
      </c>
      <c r="C8" s="48" t="n">
        <f aca="false">C6-C7</f>
        <v>64.613051436</v>
      </c>
      <c r="D8" s="48" t="n">
        <f aca="false">D6-D7</f>
        <v>198.072242036</v>
      </c>
      <c r="E8" s="48" t="n">
        <f aca="false">SUM(B8:D8)</f>
        <v>273.9273112906</v>
      </c>
    </row>
    <row r="9" customFormat="false" ht="15" hidden="false" customHeight="false" outlineLevel="0" collapsed="false">
      <c r="A9" s="58" t="s">
        <v>266</v>
      </c>
      <c r="B9" s="35" t="n">
        <f aca="false">IFERROR(B8/B6,"n/m")</f>
        <v>0.621877928486018</v>
      </c>
      <c r="C9" s="35" t="n">
        <f aca="false">IFERROR(C8/C6,"n/m")</f>
        <v>0.79592339337956</v>
      </c>
      <c r="D9" s="35" t="n">
        <f aca="false">IFERROR(D8/D6,"n/m")</f>
        <v>0.859996288773367</v>
      </c>
      <c r="E9" s="35" t="n">
        <f aca="false">IFERROR(E8/SUM(B6:D6),"n/m")</f>
        <v>0.831153000008918</v>
      </c>
    </row>
    <row r="10" customFormat="false" ht="15" hidden="false" customHeight="false" outlineLevel="0" collapsed="false">
      <c r="A10" s="41" t="s">
        <v>267</v>
      </c>
      <c r="B10" s="45" t="n">
        <v>61.9751860592</v>
      </c>
      <c r="C10" s="45" t="n">
        <v>111.0942272591</v>
      </c>
      <c r="D10" s="45" t="n">
        <v>175.4962909955</v>
      </c>
      <c r="E10" s="45" t="n">
        <f aca="false">SUM(B10:D10)</f>
        <v>348.5657043138</v>
      </c>
    </row>
    <row r="11" customFormat="false" ht="15" hidden="false" customHeight="false" outlineLevel="0" collapsed="false">
      <c r="A11" s="38" t="s">
        <v>268</v>
      </c>
      <c r="B11" s="46" t="n">
        <f aca="false">B8-B10</f>
        <v>-50.7331682406</v>
      </c>
      <c r="C11" s="46" t="n">
        <f aca="false">C8-C10</f>
        <v>-46.4811758231</v>
      </c>
      <c r="D11" s="46" t="n">
        <f aca="false">D8-D10</f>
        <v>22.5759510405</v>
      </c>
      <c r="E11" s="46" t="n">
        <f aca="false">SUM(B11:D11)</f>
        <v>-74.6383930232</v>
      </c>
    </row>
    <row r="12" customFormat="false" ht="15" hidden="false" customHeight="false" outlineLevel="0" collapsed="false">
      <c r="A12" s="58" t="s">
        <v>269</v>
      </c>
      <c r="B12" s="43" t="n">
        <v>5.2411211544</v>
      </c>
      <c r="C12" s="43" t="n">
        <v>8.7037760861</v>
      </c>
      <c r="D12" s="43" t="n">
        <v>12.3931491026</v>
      </c>
      <c r="E12" s="43" t="n">
        <f aca="false">SUM(B12:D12)</f>
        <v>26.3380463431</v>
      </c>
    </row>
    <row r="13" customFormat="false" ht="15" hidden="false" customHeight="false" outlineLevel="0" collapsed="false">
      <c r="A13" s="47" t="s">
        <v>270</v>
      </c>
      <c r="B13" s="48" t="n">
        <f aca="false">B11-B12</f>
        <v>-55.974289395</v>
      </c>
      <c r="C13" s="48" t="n">
        <f aca="false">C11-C12</f>
        <v>-55.1849519092</v>
      </c>
      <c r="D13" s="48" t="n">
        <f aca="false">D11-D12</f>
        <v>10.1828019379</v>
      </c>
      <c r="E13" s="48" t="n">
        <f aca="false">SUM(B13:D13)</f>
        <v>-100.9764393663</v>
      </c>
    </row>
    <row r="14" customFormat="false" ht="15" hidden="false" customHeight="false" outlineLevel="0" collapsed="false">
      <c r="A14" s="58" t="s">
        <v>192</v>
      </c>
      <c r="B14" s="43" t="n">
        <v>0.73232</v>
      </c>
      <c r="C14" s="43" t="n">
        <v>1.01648</v>
      </c>
      <c r="D14" s="43" t="n">
        <v>1.2744</v>
      </c>
      <c r="E14" s="43" t="n">
        <f aca="false">SUM(B14:D14)</f>
        <v>3.0232</v>
      </c>
    </row>
    <row r="15" customFormat="false" ht="15" hidden="false" customHeight="false" outlineLevel="0" collapsed="false">
      <c r="A15" s="47" t="s">
        <v>274</v>
      </c>
      <c r="B15" s="48" t="n">
        <v>55.2298258029</v>
      </c>
      <c r="C15" s="48" t="n">
        <v>38.4114273596</v>
      </c>
      <c r="D15" s="48" t="n">
        <v>30.4094963634</v>
      </c>
      <c r="E15" s="48" t="n">
        <f aca="false">D15</f>
        <v>30.4094963634</v>
      </c>
    </row>
    <row r="16" customFormat="false" ht="15" hidden="false" customHeight="false" outlineLevel="0" collapsed="false">
      <c r="A16" s="59" t="s">
        <v>273</v>
      </c>
      <c r="B16" s="60" t="n">
        <v>33.6792230796</v>
      </c>
      <c r="C16" s="60" t="n">
        <v>133.0368786499</v>
      </c>
      <c r="D16" s="60" t="n">
        <v>334.2254412563</v>
      </c>
      <c r="E16" s="60" t="n">
        <f aca="false">D16</f>
        <v>334.2254412563</v>
      </c>
    </row>
    <row r="18" customFormat="false" ht="18.75" hidden="false" customHeight="true" outlineLevel="0" collapsed="false">
      <c r="A18" s="23" t="s">
        <v>345</v>
      </c>
      <c r="B18" s="23"/>
      <c r="C18" s="23"/>
      <c r="D18" s="23"/>
      <c r="E18" s="23"/>
    </row>
    <row r="19" customFormat="false" ht="16.5" hidden="false" customHeight="true" outlineLevel="0" collapsed="false">
      <c r="A19" s="11" t="s">
        <v>257</v>
      </c>
      <c r="B19" s="24" t="s">
        <v>260</v>
      </c>
      <c r="C19" s="24" t="s">
        <v>261</v>
      </c>
      <c r="D19" s="24" t="s">
        <v>262</v>
      </c>
      <c r="E19" s="24" t="s">
        <v>346</v>
      </c>
    </row>
    <row r="20" customFormat="false" ht="15" hidden="false" customHeight="false" outlineLevel="0" collapsed="false">
      <c r="A20" s="58" t="s">
        <v>347</v>
      </c>
      <c r="B20" s="43" t="n">
        <v>2.367505</v>
      </c>
      <c r="C20" s="43" t="n">
        <v>9.0524531739</v>
      </c>
      <c r="D20" s="43" t="n">
        <v>23.5523278343</v>
      </c>
      <c r="E20" s="43" t="n">
        <f aca="false">SUM(B20:D20)</f>
        <v>34.9722860082</v>
      </c>
    </row>
    <row r="21" customFormat="false" ht="15" hidden="false" customHeight="false" outlineLevel="0" collapsed="false">
      <c r="A21" s="41" t="s">
        <v>348</v>
      </c>
      <c r="B21" s="45" t="n">
        <v>11.9608863785</v>
      </c>
      <c r="C21" s="45" t="n">
        <v>58.7046062754</v>
      </c>
      <c r="D21" s="45" t="n">
        <v>176.984300688</v>
      </c>
      <c r="E21" s="45" t="n">
        <f aca="false">SUM(B21:D21)</f>
        <v>247.6497933419</v>
      </c>
    </row>
    <row r="22" customFormat="false" ht="15" hidden="false" customHeight="false" outlineLevel="0" collapsed="false">
      <c r="A22" s="58" t="s">
        <v>349</v>
      </c>
      <c r="B22" s="43" t="n">
        <v>2.184</v>
      </c>
      <c r="C22" s="43" t="n">
        <v>5.58</v>
      </c>
      <c r="D22" s="43" t="n">
        <v>11.2</v>
      </c>
      <c r="E22" s="43" t="n">
        <f aca="false">SUM(B22:D22)</f>
        <v>18.964</v>
      </c>
    </row>
    <row r="23" customFormat="false" ht="15" hidden="false" customHeight="false" outlineLevel="0" collapsed="false">
      <c r="A23" s="41" t="s">
        <v>350</v>
      </c>
      <c r="B23" s="45" t="n">
        <v>1.08806125</v>
      </c>
      <c r="C23" s="45" t="n">
        <v>6.3160018003</v>
      </c>
      <c r="D23" s="45" t="n">
        <v>17.8419224978</v>
      </c>
      <c r="E23" s="45" t="n">
        <f aca="false">SUM(B23:D23)</f>
        <v>25.2459855481</v>
      </c>
    </row>
    <row r="24" customFormat="false" ht="15" hidden="false" customHeight="false" outlineLevel="0" collapsed="false">
      <c r="A24" s="58" t="s">
        <v>351</v>
      </c>
      <c r="B24" s="43" t="n">
        <v>0.8291025</v>
      </c>
      <c r="C24" s="43" t="n">
        <v>3.2370353434</v>
      </c>
      <c r="D24" s="43" t="n">
        <v>7.6295802679</v>
      </c>
      <c r="E24" s="43" t="n">
        <f aca="false">SUM(B24:D24)</f>
        <v>11.6957181113</v>
      </c>
    </row>
    <row r="25" customFormat="false" ht="15" hidden="false" customHeight="false" outlineLevel="0" collapsed="false">
      <c r="A25" s="41" t="s">
        <v>352</v>
      </c>
      <c r="B25" s="45" t="n">
        <v>0</v>
      </c>
      <c r="C25" s="45" t="n">
        <v>2.46265145</v>
      </c>
      <c r="D25" s="45" t="n">
        <v>9.4554723279</v>
      </c>
      <c r="E25" s="45" t="n">
        <f aca="false">SUM(B25:D25)</f>
        <v>11.9181237779</v>
      </c>
    </row>
    <row r="26" customFormat="false" ht="15" hidden="false" customHeight="false" outlineLevel="0" collapsed="false">
      <c r="A26" s="58" t="s">
        <v>97</v>
      </c>
      <c r="B26" s="43" t="n">
        <v>0.255</v>
      </c>
      <c r="C26" s="43" t="n">
        <v>0.7543179503</v>
      </c>
      <c r="D26" s="43" t="n">
        <v>1.6939738065</v>
      </c>
      <c r="E26" s="43" t="n">
        <f aca="false">SUM(B26:D26)</f>
        <v>2.7032917568</v>
      </c>
    </row>
    <row r="27" customFormat="false" ht="15" hidden="false" customHeight="false" outlineLevel="0" collapsed="false">
      <c r="A27" s="41" t="s">
        <v>353</v>
      </c>
      <c r="B27" s="45" t="n">
        <v>-0.6070236651</v>
      </c>
      <c r="C27" s="45" t="n">
        <v>-4.9270781033</v>
      </c>
      <c r="D27" s="45" t="n">
        <v>-18.0400230077</v>
      </c>
      <c r="E27" s="45" t="n">
        <f aca="false">SUM(B27:D27)</f>
        <v>-23.5741247761</v>
      </c>
    </row>
    <row r="28" customFormat="false" ht="15" hidden="false" customHeight="false" outlineLevel="0" collapsed="false">
      <c r="A28" s="38" t="s">
        <v>354</v>
      </c>
      <c r="B28" s="46" t="n">
        <f aca="false">SUM(B20:B27)</f>
        <v>18.0775314634</v>
      </c>
      <c r="C28" s="46" t="n">
        <f aca="false">SUM(C20:C27)</f>
        <v>81.17998789</v>
      </c>
      <c r="D28" s="46" t="n">
        <f aca="false">SUM(D20:D27)</f>
        <v>230.3175544147</v>
      </c>
      <c r="E28" s="46" t="n">
        <f aca="false">SUM(E20:E27)</f>
        <v>329.5750737681</v>
      </c>
    </row>
    <row r="30" customFormat="false" ht="18.75" hidden="false" customHeight="true" outlineLevel="0" collapsed="false">
      <c r="A30" s="23" t="s">
        <v>355</v>
      </c>
      <c r="B30" s="23"/>
      <c r="C30" s="23"/>
      <c r="D30" s="23"/>
      <c r="E30" s="23"/>
    </row>
    <row r="31" customFormat="false" ht="16.5" hidden="false" customHeight="true" outlineLevel="0" collapsed="false">
      <c r="A31" s="11" t="s">
        <v>257</v>
      </c>
      <c r="B31" s="24" t="s">
        <v>260</v>
      </c>
      <c r="C31" s="24" t="s">
        <v>261</v>
      </c>
      <c r="D31" s="24" t="s">
        <v>262</v>
      </c>
      <c r="E31" s="24" t="s">
        <v>346</v>
      </c>
    </row>
    <row r="32" customFormat="false" ht="15" hidden="false" customHeight="false" outlineLevel="0" collapsed="false">
      <c r="A32" s="58" t="s">
        <v>356</v>
      </c>
      <c r="B32" s="43" t="n">
        <v>0.54</v>
      </c>
      <c r="C32" s="43" t="n">
        <v>2.43</v>
      </c>
      <c r="D32" s="43" t="n">
        <v>4.92</v>
      </c>
      <c r="E32" s="43" t="n">
        <f aca="false">SUM(B32:D32)</f>
        <v>7.89</v>
      </c>
    </row>
    <row r="33" customFormat="false" ht="15" hidden="false" customHeight="false" outlineLevel="0" collapsed="false">
      <c r="A33" s="41" t="s">
        <v>357</v>
      </c>
      <c r="B33" s="45" t="n">
        <v>44.8221246862</v>
      </c>
      <c r="C33" s="45" t="n">
        <v>74.1895670052</v>
      </c>
      <c r="D33" s="45" t="n">
        <v>105.6075041045</v>
      </c>
      <c r="E33" s="45" t="n">
        <f aca="false">SUM(B33:D33)</f>
        <v>224.6191957959</v>
      </c>
    </row>
    <row r="34" customFormat="false" ht="15" hidden="false" customHeight="false" outlineLevel="0" collapsed="false">
      <c r="A34" s="58" t="s">
        <v>358</v>
      </c>
      <c r="B34" s="43" t="n">
        <v>1.44</v>
      </c>
      <c r="C34" s="43" t="n">
        <v>1.82</v>
      </c>
      <c r="D34" s="43" t="n">
        <v>2.38</v>
      </c>
      <c r="E34" s="43" t="n">
        <f aca="false">SUM(B34:D34)</f>
        <v>5.64</v>
      </c>
    </row>
    <row r="35" customFormat="false" ht="15" hidden="false" customHeight="false" outlineLevel="0" collapsed="false">
      <c r="A35" s="41" t="s">
        <v>359</v>
      </c>
      <c r="B35" s="45" t="n">
        <v>1.47</v>
      </c>
      <c r="C35" s="45" t="n">
        <v>2.55</v>
      </c>
      <c r="D35" s="45" t="n">
        <v>2.26</v>
      </c>
      <c r="E35" s="45" t="n">
        <f aca="false">SUM(B35:D35)</f>
        <v>6.28</v>
      </c>
    </row>
    <row r="36" customFormat="false" ht="15" hidden="false" customHeight="false" outlineLevel="0" collapsed="false">
      <c r="A36" s="58" t="s">
        <v>360</v>
      </c>
      <c r="B36" s="43" t="n">
        <v>0.552</v>
      </c>
      <c r="C36" s="43" t="n">
        <v>0.93</v>
      </c>
      <c r="D36" s="43" t="n">
        <v>1.14</v>
      </c>
      <c r="E36" s="43" t="n">
        <f aca="false">SUM(B36:D36)</f>
        <v>2.622</v>
      </c>
    </row>
    <row r="37" customFormat="false" ht="15" hidden="false" customHeight="false" outlineLevel="0" collapsed="false">
      <c r="A37" s="41" t="s">
        <v>361</v>
      </c>
      <c r="B37" s="45" t="n">
        <v>4.5692667476</v>
      </c>
      <c r="C37" s="45" t="n">
        <v>14.2976983652</v>
      </c>
      <c r="D37" s="45" t="n">
        <v>35.360069846</v>
      </c>
      <c r="E37" s="45" t="n">
        <f aca="false">SUM(B37:D37)</f>
        <v>54.2270349588</v>
      </c>
    </row>
    <row r="38" customFormat="false" ht="15" hidden="false" customHeight="false" outlineLevel="0" collapsed="false">
      <c r="A38" s="58" t="s">
        <v>362</v>
      </c>
      <c r="B38" s="43" t="n">
        <v>1.8567</v>
      </c>
      <c r="C38" s="43" t="n">
        <v>2.7003</v>
      </c>
      <c r="D38" s="43" t="n">
        <v>3.466</v>
      </c>
      <c r="E38" s="43" t="n">
        <f aca="false">SUM(B38:D38)</f>
        <v>8.023</v>
      </c>
    </row>
    <row r="39" customFormat="false" ht="15" hidden="false" customHeight="false" outlineLevel="0" collapsed="false">
      <c r="A39" s="41" t="s">
        <v>363</v>
      </c>
      <c r="B39" s="45" t="n">
        <v>0.3306977832</v>
      </c>
      <c r="C39" s="45" t="n">
        <v>0.898619891</v>
      </c>
      <c r="D39" s="45" t="n">
        <v>2.2408579897</v>
      </c>
      <c r="E39" s="45" t="n">
        <f aca="false">SUM(B39:D39)</f>
        <v>3.4701756639</v>
      </c>
    </row>
    <row r="40" customFormat="false" ht="15" hidden="false" customHeight="false" outlineLevel="0" collapsed="false">
      <c r="A40" s="58" t="s">
        <v>364</v>
      </c>
      <c r="B40" s="43" t="n">
        <v>3.163462972</v>
      </c>
      <c r="C40" s="43" t="n">
        <v>5.4863998183</v>
      </c>
      <c r="D40" s="43" t="n">
        <v>8.9727633162</v>
      </c>
      <c r="E40" s="43" t="n">
        <f aca="false">SUM(B40:D40)</f>
        <v>17.6226261065</v>
      </c>
    </row>
    <row r="41" customFormat="false" ht="15" hidden="false" customHeight="false" outlineLevel="0" collapsed="false">
      <c r="A41" s="41" t="s">
        <v>194</v>
      </c>
      <c r="B41" s="45" t="n">
        <v>3.2309338704</v>
      </c>
      <c r="C41" s="45" t="n">
        <v>5.7916421794</v>
      </c>
      <c r="D41" s="45" t="n">
        <v>9.1490957391</v>
      </c>
      <c r="E41" s="45" t="n">
        <f aca="false">SUM(B41:D41)</f>
        <v>18.1716717889</v>
      </c>
    </row>
    <row r="42" customFormat="false" ht="15" hidden="false" customHeight="false" outlineLevel="0" collapsed="false">
      <c r="A42" s="38" t="s">
        <v>365</v>
      </c>
      <c r="B42" s="46" t="n">
        <f aca="false">SUM(B32:B41)</f>
        <v>61.9751860594</v>
      </c>
      <c r="C42" s="46" t="n">
        <f aca="false">SUM(C32:C41)</f>
        <v>111.0942272591</v>
      </c>
      <c r="D42" s="46" t="n">
        <f aca="false">SUM(D32:D41)</f>
        <v>175.4962909955</v>
      </c>
      <c r="E42" s="46" t="n">
        <f aca="false">SUM(E32:E41)</f>
        <v>348.565704314</v>
      </c>
    </row>
    <row r="44" customFormat="false" ht="18.75" hidden="false" customHeight="true" outlineLevel="0" collapsed="false">
      <c r="A44" s="23" t="s">
        <v>366</v>
      </c>
      <c r="B44" s="23"/>
      <c r="C44" s="23"/>
      <c r="D44" s="23"/>
      <c r="E44" s="23"/>
    </row>
    <row r="45" customFormat="false" ht="16.5" hidden="false" customHeight="true" outlineLevel="0" collapsed="false">
      <c r="A45" s="11" t="s">
        <v>173</v>
      </c>
      <c r="B45" s="24" t="s">
        <v>260</v>
      </c>
      <c r="C45" s="24" t="s">
        <v>261</v>
      </c>
      <c r="D45" s="24" t="s">
        <v>262</v>
      </c>
      <c r="E45" s="24" t="s">
        <v>174</v>
      </c>
    </row>
    <row r="46" customFormat="false" ht="15" hidden="false" customHeight="false" outlineLevel="0" collapsed="false">
      <c r="A46" s="58" t="s">
        <v>175</v>
      </c>
      <c r="B46" s="26" t="n">
        <v>25</v>
      </c>
      <c r="C46" s="26" t="n">
        <v>32</v>
      </c>
      <c r="D46" s="26" t="n">
        <v>38</v>
      </c>
      <c r="E46" s="26" t="n">
        <v>34</v>
      </c>
    </row>
    <row r="47" customFormat="false" ht="15" hidden="false" customHeight="false" outlineLevel="0" collapsed="false">
      <c r="A47" s="41" t="s">
        <v>176</v>
      </c>
      <c r="B47" s="29" t="n">
        <v>15</v>
      </c>
      <c r="C47" s="29" t="n">
        <v>21</v>
      </c>
      <c r="D47" s="29" t="n">
        <v>26</v>
      </c>
      <c r="E47" s="29" t="n">
        <v>38</v>
      </c>
    </row>
    <row r="48" customFormat="false" ht="15" hidden="false" customHeight="false" outlineLevel="0" collapsed="false">
      <c r="A48" s="58" t="s">
        <v>177</v>
      </c>
      <c r="B48" s="26" t="n">
        <v>23</v>
      </c>
      <c r="C48" s="26" t="n">
        <v>37</v>
      </c>
      <c r="D48" s="26" t="n">
        <v>50</v>
      </c>
      <c r="E48" s="26" t="n">
        <v>30</v>
      </c>
    </row>
    <row r="49" customFormat="false" ht="15" hidden="false" customHeight="false" outlineLevel="0" collapsed="false">
      <c r="A49" s="41" t="s">
        <v>178</v>
      </c>
      <c r="B49" s="29" t="n">
        <v>15</v>
      </c>
      <c r="C49" s="29" t="n">
        <v>21</v>
      </c>
      <c r="D49" s="29" t="n">
        <v>27</v>
      </c>
      <c r="E49" s="29" t="n">
        <v>30</v>
      </c>
    </row>
    <row r="50" customFormat="false" ht="15" hidden="false" customHeight="false" outlineLevel="0" collapsed="false">
      <c r="A50" s="58" t="s">
        <v>179</v>
      </c>
      <c r="B50" s="26" t="n">
        <v>11</v>
      </c>
      <c r="C50" s="26" t="n">
        <v>16</v>
      </c>
      <c r="D50" s="26" t="n">
        <v>21</v>
      </c>
      <c r="E50" s="26" t="n">
        <v>32</v>
      </c>
    </row>
    <row r="51" customFormat="false" ht="15" hidden="false" customHeight="false" outlineLevel="0" collapsed="false">
      <c r="A51" s="41" t="s">
        <v>180</v>
      </c>
      <c r="B51" s="29" t="n">
        <v>10</v>
      </c>
      <c r="C51" s="29" t="n">
        <v>13</v>
      </c>
      <c r="D51" s="29" t="n">
        <v>16</v>
      </c>
      <c r="E51" s="29" t="n">
        <v>28</v>
      </c>
    </row>
    <row r="52" customFormat="false" ht="15" hidden="false" customHeight="false" outlineLevel="0" collapsed="false">
      <c r="A52" s="58" t="s">
        <v>181</v>
      </c>
      <c r="B52" s="26" t="n">
        <v>22</v>
      </c>
      <c r="C52" s="26" t="n">
        <v>32</v>
      </c>
      <c r="D52" s="26" t="n">
        <v>40</v>
      </c>
      <c r="E52" s="26" t="n">
        <v>26</v>
      </c>
    </row>
    <row r="53" customFormat="false" ht="15" hidden="false" customHeight="false" outlineLevel="0" collapsed="false">
      <c r="A53" s="41" t="s">
        <v>182</v>
      </c>
      <c r="B53" s="29" t="n">
        <v>28</v>
      </c>
      <c r="C53" s="29" t="n">
        <v>42</v>
      </c>
      <c r="D53" s="29" t="n">
        <v>50</v>
      </c>
      <c r="E53" s="29" t="n">
        <v>27</v>
      </c>
    </row>
    <row r="54" customFormat="false" ht="15" hidden="false" customHeight="false" outlineLevel="0" collapsed="false">
      <c r="A54" s="58" t="s">
        <v>183</v>
      </c>
      <c r="B54" s="26" t="n">
        <v>7</v>
      </c>
      <c r="C54" s="26" t="n">
        <v>10</v>
      </c>
      <c r="D54" s="26" t="n">
        <v>13</v>
      </c>
      <c r="E54" s="26" t="n">
        <v>36</v>
      </c>
    </row>
    <row r="55" customFormat="false" ht="15" hidden="false" customHeight="false" outlineLevel="0" collapsed="false">
      <c r="A55" s="41" t="s">
        <v>184</v>
      </c>
      <c r="B55" s="29" t="n">
        <v>14</v>
      </c>
      <c r="C55" s="29" t="n">
        <v>19</v>
      </c>
      <c r="D55" s="29" t="n">
        <v>24</v>
      </c>
      <c r="E55" s="29" t="n">
        <v>24</v>
      </c>
    </row>
    <row r="56" customFormat="false" ht="15" hidden="false" customHeight="false" outlineLevel="0" collapsed="false">
      <c r="A56" s="38" t="s">
        <v>185</v>
      </c>
      <c r="B56" s="40" t="n">
        <f aca="false">SUM(B46:B55)</f>
        <v>170</v>
      </c>
      <c r="C56" s="40" t="n">
        <f aca="false">SUM(C46:C55)</f>
        <v>243</v>
      </c>
      <c r="D56" s="40" t="n">
        <f aca="false">SUM(D46:D55)</f>
        <v>305</v>
      </c>
    </row>
    <row r="58" customFormat="false" ht="18.75" hidden="false" customHeight="true" outlineLevel="0" collapsed="false">
      <c r="A58" s="23" t="s">
        <v>367</v>
      </c>
      <c r="B58" s="23"/>
      <c r="C58" s="23"/>
      <c r="D58" s="23"/>
      <c r="E58" s="23"/>
    </row>
    <row r="59" customFormat="false" ht="16.5" hidden="false" customHeight="true" outlineLevel="0" collapsed="false">
      <c r="A59" s="11" t="s">
        <v>368</v>
      </c>
      <c r="B59" s="24" t="s">
        <v>260</v>
      </c>
      <c r="C59" s="24" t="s">
        <v>261</v>
      </c>
      <c r="D59" s="24" t="s">
        <v>262</v>
      </c>
      <c r="E59" s="24"/>
    </row>
    <row r="60" customFormat="false" ht="15" hidden="false" customHeight="false" outlineLevel="0" collapsed="false">
      <c r="A60" s="41" t="s">
        <v>369</v>
      </c>
      <c r="B60" s="29" t="n">
        <v>109</v>
      </c>
      <c r="C60" s="29" t="n">
        <v>186</v>
      </c>
      <c r="D60" s="29" t="n">
        <v>279</v>
      </c>
    </row>
    <row r="61" customFormat="false" ht="15" hidden="false" customHeight="false" outlineLevel="0" collapsed="false">
      <c r="A61" s="58" t="s">
        <v>370</v>
      </c>
      <c r="B61" s="26" t="n">
        <v>39</v>
      </c>
      <c r="C61" s="26" t="n">
        <v>110</v>
      </c>
      <c r="D61" s="26" t="n">
        <v>211</v>
      </c>
    </row>
    <row r="62" customFormat="false" ht="15" hidden="false" customHeight="false" outlineLevel="0" collapsed="false">
      <c r="A62" s="41" t="s">
        <v>371</v>
      </c>
      <c r="B62" s="29" t="n">
        <v>0</v>
      </c>
      <c r="C62" s="29" t="n">
        <v>16</v>
      </c>
      <c r="D62" s="29" t="n">
        <v>55</v>
      </c>
    </row>
    <row r="63" customFormat="false" ht="15" hidden="false" customHeight="false" outlineLevel="0" collapsed="false">
      <c r="A63" s="38" t="s">
        <v>372</v>
      </c>
      <c r="B63" s="40" t="n">
        <f aca="false">SUM(B60:B62)</f>
        <v>148</v>
      </c>
      <c r="C63" s="40" t="n">
        <f aca="false">SUM(C60:C62)</f>
        <v>312</v>
      </c>
      <c r="D63" s="40" t="n">
        <f aca="false">SUM(D60:D62)</f>
        <v>545</v>
      </c>
    </row>
    <row r="64" customFormat="false" ht="15" hidden="false" customHeight="false" outlineLevel="0" collapsed="false">
      <c r="A64" s="58" t="s">
        <v>373</v>
      </c>
      <c r="B64" s="26" t="n">
        <v>0</v>
      </c>
      <c r="C64" s="26" t="n">
        <v>4</v>
      </c>
      <c r="D64" s="26" t="n">
        <v>11</v>
      </c>
    </row>
    <row r="65" customFormat="false" ht="15" hidden="false" customHeight="false" outlineLevel="0" collapsed="false">
      <c r="A65" s="41" t="s">
        <v>317</v>
      </c>
      <c r="B65" s="29" t="n">
        <v>28</v>
      </c>
      <c r="C65" s="29" t="n">
        <v>70</v>
      </c>
      <c r="D65" s="29" t="n">
        <v>140</v>
      </c>
    </row>
    <row r="67" customFormat="false" ht="18.75" hidden="false" customHeight="true" outlineLevel="0" collapsed="false">
      <c r="A67" s="23" t="s">
        <v>374</v>
      </c>
      <c r="B67" s="23"/>
      <c r="C67" s="23"/>
      <c r="D67" s="23"/>
      <c r="E67" s="23"/>
    </row>
    <row r="68" customFormat="false" ht="16.5" hidden="false" customHeight="true" outlineLevel="0" collapsed="false">
      <c r="A68" s="11" t="s">
        <v>375</v>
      </c>
      <c r="B68" s="24" t="s">
        <v>260</v>
      </c>
      <c r="C68" s="24" t="s">
        <v>261</v>
      </c>
      <c r="D68" s="24" t="s">
        <v>262</v>
      </c>
      <c r="E68" s="24"/>
    </row>
    <row r="69" customFormat="false" ht="15" hidden="false" customHeight="false" outlineLevel="0" collapsed="false">
      <c r="A69" s="47" t="s">
        <v>376</v>
      </c>
      <c r="B69" s="73" t="n">
        <v>202.392</v>
      </c>
      <c r="C69" s="73" t="n">
        <v>885.588</v>
      </c>
      <c r="D69" s="73" t="n">
        <v>2491.458</v>
      </c>
    </row>
    <row r="70" customFormat="false" ht="15" hidden="false" customHeight="false" outlineLevel="0" collapsed="false">
      <c r="A70" s="71" t="s">
        <v>377</v>
      </c>
      <c r="B70" s="34" t="n">
        <v>54.6</v>
      </c>
      <c r="C70" s="34" t="n">
        <v>139.5</v>
      </c>
      <c r="D70" s="34" t="n">
        <v>280</v>
      </c>
    </row>
    <row r="71" customFormat="false" ht="15" hidden="false" customHeight="false" outlineLevel="0" collapsed="false">
      <c r="A71" s="70" t="s">
        <v>378</v>
      </c>
      <c r="B71" s="36" t="n">
        <v>147.792</v>
      </c>
      <c r="C71" s="36" t="n">
        <v>746.088</v>
      </c>
      <c r="D71" s="36" t="n">
        <v>2211.458</v>
      </c>
    </row>
    <row r="72" customFormat="false" ht="15" hidden="false" customHeight="false" outlineLevel="0" collapsed="false">
      <c r="A72" s="59" t="s">
        <v>379</v>
      </c>
      <c r="B72" s="74" t="n">
        <v>0.8932</v>
      </c>
      <c r="C72" s="74" t="n">
        <v>0.9167</v>
      </c>
      <c r="D72" s="74" t="n">
        <v>0.9244</v>
      </c>
    </row>
    <row r="73" customFormat="false" ht="15" hidden="false" customHeight="false" outlineLevel="0" collapsed="false">
      <c r="A73" s="47" t="s">
        <v>380</v>
      </c>
      <c r="B73" s="75" t="n">
        <v>0.3377</v>
      </c>
      <c r="C73" s="75" t="n">
        <v>0.1871</v>
      </c>
      <c r="D73" s="75" t="n">
        <v>0.1294</v>
      </c>
    </row>
    <row r="74" customFormat="false" ht="15" hidden="false" customHeight="false" outlineLevel="0" collapsed="false">
      <c r="A74" s="58" t="s">
        <v>381</v>
      </c>
      <c r="B74" s="32" t="n">
        <f aca="false">B72-B73</f>
        <v>0.5555</v>
      </c>
      <c r="C74" s="32" t="n">
        <f aca="false">C72-C73</f>
        <v>0.7296</v>
      </c>
      <c r="D74" s="32" t="n">
        <f aca="false">D72-D73</f>
        <v>0.795</v>
      </c>
    </row>
    <row r="75" customFormat="false" ht="15" hidden="false" customHeight="false" outlineLevel="0" collapsed="false">
      <c r="A75" s="41" t="s">
        <v>266</v>
      </c>
      <c r="B75" s="37" t="n">
        <f aca="false">IFERROR(B9,"n/m")</f>
        <v>0.621877928486018</v>
      </c>
      <c r="C75" s="37" t="n">
        <f aca="false">IFERROR(C9,"n/m")</f>
        <v>0.79592339337956</v>
      </c>
      <c r="D75" s="37" t="n">
        <f aca="false">IFERROR(D9,"n/m")</f>
        <v>0.859996288773367</v>
      </c>
    </row>
    <row r="76" customFormat="false" ht="15" hidden="false" customHeight="false" outlineLevel="0" collapsed="false">
      <c r="A76" s="58" t="s">
        <v>382</v>
      </c>
      <c r="B76" s="34" t="n">
        <v>10.63</v>
      </c>
      <c r="C76" s="34" t="n">
        <v>33.41</v>
      </c>
      <c r="D76" s="34" t="n">
        <v>75.51</v>
      </c>
    </row>
    <row r="77" customFormat="false" ht="15" hidden="false" customHeight="false" outlineLevel="0" collapsed="false">
      <c r="A77" s="41" t="s">
        <v>383</v>
      </c>
      <c r="B77" s="36" t="n">
        <v>22.76</v>
      </c>
      <c r="C77" s="36" t="n">
        <v>42.64</v>
      </c>
      <c r="D77" s="36" t="n">
        <v>61.33</v>
      </c>
    </row>
    <row r="78" customFormat="false" ht="15" hidden="false" customHeight="false" outlineLevel="0" collapsed="false">
      <c r="A78" s="15" t="s">
        <v>384</v>
      </c>
      <c r="B78" s="15"/>
      <c r="C78" s="15"/>
      <c r="D78" s="15"/>
      <c r="E78" s="15"/>
    </row>
  </sheetData>
  <mergeCells count="9">
    <mergeCell ref="A1:E1"/>
    <mergeCell ref="A2:E2"/>
    <mergeCell ref="A3:E3"/>
    <mergeCell ref="A18:E18"/>
    <mergeCell ref="A30:E30"/>
    <mergeCell ref="A44:E44"/>
    <mergeCell ref="A58:E58"/>
    <mergeCell ref="A67:E67"/>
    <mergeCell ref="A78:E78"/>
  </mergeCells>
  <conditionalFormatting sqref="B6:E7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0" min="2" style="0" width="12"/>
  </cols>
  <sheetData>
    <row r="1" customFormat="false" ht="30" hidden="false" customHeight="true" outlineLevel="0" collapsed="false">
      <c r="A1" s="20" t="s">
        <v>385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customFormat="false" ht="15.75" hidden="false" customHeight="true" outlineLevel="0" collapsed="false">
      <c r="A2" s="21" t="s">
        <v>386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customFormat="false" ht="13.5" hidden="false" customHeight="true" outlineLevel="0" collapsed="false">
      <c r="A3" s="22" t="s">
        <v>387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5" customFormat="false" ht="18.75" hidden="false" customHeight="true" outlineLevel="0" collapsed="false">
      <c r="A5" s="23" t="s">
        <v>388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customFormat="false" ht="16.5" hidden="false" customHeight="true" outlineLevel="0" collapsed="false">
      <c r="A6" s="11" t="s">
        <v>257</v>
      </c>
      <c r="B6" s="24" t="s">
        <v>258</v>
      </c>
      <c r="C6" s="24" t="s">
        <v>259</v>
      </c>
      <c r="D6" s="24" t="s">
        <v>260</v>
      </c>
      <c r="E6" s="24" t="s">
        <v>261</v>
      </c>
      <c r="F6" s="24" t="s">
        <v>262</v>
      </c>
      <c r="G6" s="24" t="s">
        <v>389</v>
      </c>
    </row>
    <row r="7" customFormat="false" ht="15" hidden="false" customHeight="false" outlineLevel="0" collapsed="false">
      <c r="A7" s="58" t="s">
        <v>347</v>
      </c>
      <c r="B7" s="43" t="n">
        <v>0</v>
      </c>
      <c r="C7" s="43" t="n">
        <v>0.252</v>
      </c>
      <c r="D7" s="43" t="n">
        <v>2.367505</v>
      </c>
      <c r="E7" s="43" t="n">
        <v>9.0524531739</v>
      </c>
      <c r="F7" s="43" t="n">
        <v>23.5523278343</v>
      </c>
      <c r="G7" s="43" t="n">
        <f aca="false">SUM(B7:F7)</f>
        <v>35.2242860082</v>
      </c>
    </row>
    <row r="8" customFormat="false" ht="15" hidden="false" customHeight="false" outlineLevel="0" collapsed="false">
      <c r="A8" s="41" t="s">
        <v>348</v>
      </c>
      <c r="B8" s="45" t="n">
        <v>0</v>
      </c>
      <c r="C8" s="45" t="n">
        <v>1.0503506607</v>
      </c>
      <c r="D8" s="45" t="n">
        <v>11.9608863785</v>
      </c>
      <c r="E8" s="45" t="n">
        <v>58.7046062754</v>
      </c>
      <c r="F8" s="45" t="n">
        <v>176.984300688</v>
      </c>
      <c r="G8" s="45" t="n">
        <f aca="false">SUM(B8:F8)</f>
        <v>248.7001440026</v>
      </c>
    </row>
    <row r="9" customFormat="false" ht="15" hidden="false" customHeight="false" outlineLevel="0" collapsed="false">
      <c r="A9" s="58" t="s">
        <v>349</v>
      </c>
      <c r="B9" s="43" t="n">
        <v>0.0144</v>
      </c>
      <c r="C9" s="43" t="n">
        <v>0.5216</v>
      </c>
      <c r="D9" s="43" t="n">
        <v>2.184</v>
      </c>
      <c r="E9" s="43" t="n">
        <v>5.58</v>
      </c>
      <c r="F9" s="43" t="n">
        <v>11.2</v>
      </c>
      <c r="G9" s="43" t="n">
        <f aca="false">SUM(B9:F9)</f>
        <v>19.5</v>
      </c>
    </row>
    <row r="10" customFormat="false" ht="15" hidden="false" customHeight="false" outlineLevel="0" collapsed="false">
      <c r="A10" s="41" t="s">
        <v>350</v>
      </c>
      <c r="B10" s="45" t="n">
        <v>0</v>
      </c>
      <c r="C10" s="45" t="n">
        <v>0</v>
      </c>
      <c r="D10" s="45" t="n">
        <v>1.08806125</v>
      </c>
      <c r="E10" s="45" t="n">
        <v>6.3160018003</v>
      </c>
      <c r="F10" s="45" t="n">
        <v>17.8419224978</v>
      </c>
      <c r="G10" s="45" t="n">
        <f aca="false">SUM(B10:F10)</f>
        <v>25.2459855481</v>
      </c>
    </row>
    <row r="11" customFormat="false" ht="15" hidden="false" customHeight="false" outlineLevel="0" collapsed="false">
      <c r="A11" s="58" t="s">
        <v>351</v>
      </c>
      <c r="B11" s="43" t="n">
        <v>0</v>
      </c>
      <c r="C11" s="43" t="n">
        <v>0.0560385</v>
      </c>
      <c r="D11" s="43" t="n">
        <v>0.8291025</v>
      </c>
      <c r="E11" s="43" t="n">
        <v>3.2370353434</v>
      </c>
      <c r="F11" s="43" t="n">
        <v>7.6295802679</v>
      </c>
      <c r="G11" s="43" t="n">
        <f aca="false">SUM(B11:F11)</f>
        <v>11.7517566113</v>
      </c>
    </row>
    <row r="12" customFormat="false" ht="15" hidden="false" customHeight="false" outlineLevel="0" collapsed="false">
      <c r="A12" s="41" t="s">
        <v>352</v>
      </c>
      <c r="B12" s="45" t="n">
        <v>0</v>
      </c>
      <c r="C12" s="45" t="n">
        <v>0</v>
      </c>
      <c r="D12" s="45" t="n">
        <v>0</v>
      </c>
      <c r="E12" s="45" t="n">
        <v>2.46265145</v>
      </c>
      <c r="F12" s="45" t="n">
        <v>9.4554723279</v>
      </c>
      <c r="G12" s="45" t="n">
        <f aca="false">SUM(B12:F12)</f>
        <v>11.9181237779</v>
      </c>
    </row>
    <row r="13" customFormat="false" ht="15" hidden="false" customHeight="false" outlineLevel="0" collapsed="false">
      <c r="A13" s="58" t="s">
        <v>97</v>
      </c>
      <c r="B13" s="43" t="n">
        <v>0</v>
      </c>
      <c r="C13" s="43" t="n">
        <v>0.02</v>
      </c>
      <c r="D13" s="43" t="n">
        <v>0.255</v>
      </c>
      <c r="E13" s="43" t="n">
        <v>0.7543179503</v>
      </c>
      <c r="F13" s="43" t="n">
        <v>1.6939738065</v>
      </c>
      <c r="G13" s="43" t="n">
        <f aca="false">SUM(B13:F13)</f>
        <v>2.7232917568</v>
      </c>
    </row>
    <row r="14" customFormat="false" ht="15" hidden="false" customHeight="false" outlineLevel="0" collapsed="false">
      <c r="A14" s="41" t="s">
        <v>353</v>
      </c>
      <c r="B14" s="45" t="n">
        <v>0</v>
      </c>
      <c r="C14" s="45" t="n">
        <v>-0.0098566985</v>
      </c>
      <c r="D14" s="45" t="n">
        <v>-0.6070236651</v>
      </c>
      <c r="E14" s="45" t="n">
        <v>-4.9270781033</v>
      </c>
      <c r="F14" s="45" t="n">
        <v>-18.0400230077</v>
      </c>
      <c r="G14" s="45" t="n">
        <f aca="false">SUM(B14:F14)</f>
        <v>-23.5839814746</v>
      </c>
    </row>
    <row r="15" customFormat="false" ht="15" hidden="false" customHeight="false" outlineLevel="0" collapsed="false">
      <c r="A15" s="38" t="s">
        <v>354</v>
      </c>
      <c r="B15" s="46" t="n">
        <f aca="false">SUM(B7:B14)</f>
        <v>0.0144</v>
      </c>
      <c r="C15" s="46" t="n">
        <f aca="false">SUM(C7:C14)</f>
        <v>1.8901324622</v>
      </c>
      <c r="D15" s="46" t="n">
        <f aca="false">SUM(D7:D14)</f>
        <v>18.0775314634</v>
      </c>
      <c r="E15" s="46" t="n">
        <f aca="false">SUM(E7:E14)</f>
        <v>81.17998789</v>
      </c>
      <c r="F15" s="46" t="n">
        <f aca="false">SUM(F7:F14)</f>
        <v>230.3175544147</v>
      </c>
      <c r="G15" s="46" t="n">
        <f aca="false">SUM(G7:G14)</f>
        <v>331.4796062303</v>
      </c>
    </row>
    <row r="17" customFormat="false" ht="18.75" hidden="false" customHeight="true" outlineLevel="0" collapsed="false">
      <c r="A17" s="23" t="s">
        <v>390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customFormat="false" ht="16.5" hidden="false" customHeight="true" outlineLevel="0" collapsed="false">
      <c r="A18" s="11" t="s">
        <v>391</v>
      </c>
      <c r="B18" s="24" t="s">
        <v>258</v>
      </c>
      <c r="C18" s="24" t="s">
        <v>259</v>
      </c>
      <c r="D18" s="24" t="s">
        <v>260</v>
      </c>
      <c r="E18" s="24" t="s">
        <v>261</v>
      </c>
      <c r="F18" s="24" t="s">
        <v>262</v>
      </c>
      <c r="G18" s="24" t="s">
        <v>389</v>
      </c>
    </row>
    <row r="19" customFormat="false" ht="15" hidden="false" customHeight="false" outlineLevel="0" collapsed="false">
      <c r="A19" s="58" t="s">
        <v>347</v>
      </c>
      <c r="B19" s="35" t="n">
        <f aca="false">IFERROR(B7/B15,"n/m")</f>
        <v>0</v>
      </c>
      <c r="C19" s="35" t="n">
        <f aca="false">IFERROR(C7/C15,"n/m")</f>
        <v>0.13332398921221</v>
      </c>
      <c r="D19" s="35" t="n">
        <f aca="false">IFERROR(D7/D15,"n/m")</f>
        <v>0.13096395405497</v>
      </c>
      <c r="E19" s="35" t="n">
        <f aca="false">IFERROR(E7/E15,"n/m")</f>
        <v>0.111510895840071</v>
      </c>
      <c r="F19" s="35" t="n">
        <f aca="false">IFERROR(F7/F15,"n/m")</f>
        <v>0.102260237584377</v>
      </c>
      <c r="G19" s="35" t="n">
        <f aca="false">IFERROR(G7/G15,"n/m")</f>
        <v>0.106263810340499</v>
      </c>
    </row>
    <row r="20" customFormat="false" ht="15" hidden="false" customHeight="false" outlineLevel="0" collapsed="false">
      <c r="A20" s="41" t="s">
        <v>348</v>
      </c>
      <c r="B20" s="37" t="n">
        <f aca="false">IFERROR(B8/B15,"n/m")</f>
        <v>0</v>
      </c>
      <c r="C20" s="37" t="n">
        <f aca="false">IFERROR(C8/C15,"n/m")</f>
        <v>0.555702143477</v>
      </c>
      <c r="D20" s="37" t="n">
        <f aca="false">IFERROR(D8/D15,"n/m")</f>
        <v>0.661643787079899</v>
      </c>
      <c r="E20" s="37" t="n">
        <f aca="false">IFERROR(E8/E15,"n/m")</f>
        <v>0.723141352951981</v>
      </c>
      <c r="F20" s="37" t="n">
        <f aca="false">IFERROR(F8/F15,"n/m")</f>
        <v>0.768436001926842</v>
      </c>
      <c r="G20" s="37" t="n">
        <f aca="false">IFERROR(G8/G15,"n/m")</f>
        <v>0.750272835276063</v>
      </c>
    </row>
    <row r="21" customFormat="false" ht="15" hidden="false" customHeight="false" outlineLevel="0" collapsed="false">
      <c r="A21" s="58" t="s">
        <v>349</v>
      </c>
      <c r="B21" s="35" t="n">
        <f aca="false">IFERROR(B9/B15,"n/m")</f>
        <v>1</v>
      </c>
      <c r="C21" s="35" t="n">
        <f aca="false">IFERROR(C9/C15,"n/m")</f>
        <v>0.275959495131304</v>
      </c>
      <c r="D21" s="35" t="n">
        <f aca="false">IFERROR(D9/D15,"n/m")</f>
        <v>0.120812955265588</v>
      </c>
      <c r="E21" s="35" t="n">
        <f aca="false">IFERROR(E9/E15,"n/m")</f>
        <v>0.0687361521605667</v>
      </c>
      <c r="F21" s="35" t="n">
        <f aca="false">IFERROR(F9/F15,"n/m")</f>
        <v>0.0486285121794657</v>
      </c>
      <c r="G21" s="35" t="n">
        <f aca="false">IFERROR(G9/G15,"n/m")</f>
        <v>0.0588271484383631</v>
      </c>
    </row>
    <row r="22" customFormat="false" ht="15" hidden="false" customHeight="false" outlineLevel="0" collapsed="false">
      <c r="A22" s="41" t="s">
        <v>350</v>
      </c>
      <c r="B22" s="37" t="n">
        <f aca="false">IFERROR(B10/B15,"n/m")</f>
        <v>0</v>
      </c>
      <c r="C22" s="37" t="n">
        <f aca="false">IFERROR(C10/C15,"n/m")</f>
        <v>0</v>
      </c>
      <c r="D22" s="37" t="n">
        <f aca="false">IFERROR(D10/D15,"n/m")</f>
        <v>0.0601885966677974</v>
      </c>
      <c r="E22" s="37" t="n">
        <f aca="false">IFERROR(E10/E15,"n/m")</f>
        <v>0.0778024481705795</v>
      </c>
      <c r="F22" s="37" t="n">
        <f aca="false">IFERROR(F10/F15,"n/m")</f>
        <v>0.0774666201329778</v>
      </c>
      <c r="G22" s="37" t="n">
        <f aca="false">IFERROR(G10/G15,"n/m")</f>
        <v>0.0761615045800435</v>
      </c>
    </row>
    <row r="23" customFormat="false" ht="15" hidden="false" customHeight="false" outlineLevel="0" collapsed="false">
      <c r="A23" s="58" t="s">
        <v>351</v>
      </c>
      <c r="B23" s="35" t="n">
        <f aca="false">IFERROR(B11/B15,"n/m")</f>
        <v>0</v>
      </c>
      <c r="C23" s="35" t="n">
        <f aca="false">IFERROR(C11/C15,"n/m")</f>
        <v>0.0296479221010651</v>
      </c>
      <c r="D23" s="35" t="n">
        <f aca="false">IFERROR(D11/D15,"n/m")</f>
        <v>0.0458637011186296</v>
      </c>
      <c r="E23" s="35" t="n">
        <f aca="false">IFERROR(E11/E15,"n/m")</f>
        <v>0.0398747946080779</v>
      </c>
      <c r="F23" s="35" t="n">
        <f aca="false">IFERROR(F11/F15,"n/m")</f>
        <v>0.0331263515162309</v>
      </c>
      <c r="G23" s="35" t="n">
        <f aca="false">IFERROR(G11/G15,"n/m")</f>
        <v>0.0354524272094595</v>
      </c>
    </row>
    <row r="24" customFormat="false" ht="15" hidden="false" customHeight="false" outlineLevel="0" collapsed="false">
      <c r="A24" s="41" t="s">
        <v>352</v>
      </c>
      <c r="B24" s="37" t="n">
        <f aca="false">IFERROR(B12/B15,"n/m")</f>
        <v>0</v>
      </c>
      <c r="C24" s="37" t="n">
        <f aca="false">IFERROR(C12/C15,"n/m")</f>
        <v>0</v>
      </c>
      <c r="D24" s="37" t="n">
        <f aca="false">IFERROR(D12/D15,"n/m")</f>
        <v>0</v>
      </c>
      <c r="E24" s="37" t="n">
        <f aca="false">IFERROR(E12/E15,"n/m")</f>
        <v>0.0303356961981434</v>
      </c>
      <c r="F24" s="37" t="n">
        <f aca="false">IFERROR(F12/F15,"n/m")</f>
        <v>0.0410540670767756</v>
      </c>
      <c r="G24" s="37" t="n">
        <f aca="false">IFERROR(G12/G15,"n/m")</f>
        <v>0.0359543198250927</v>
      </c>
    </row>
    <row r="25" customFormat="false" ht="15" hidden="false" customHeight="false" outlineLevel="0" collapsed="false">
      <c r="A25" s="58" t="s">
        <v>97</v>
      </c>
      <c r="B25" s="35" t="n">
        <f aca="false">IFERROR(B13/B15,"n/m")</f>
        <v>0</v>
      </c>
      <c r="C25" s="35" t="n">
        <f aca="false">IFERROR(C13/C15,"n/m")</f>
        <v>0.010581268985096</v>
      </c>
      <c r="D25" s="35" t="n">
        <f aca="false">IFERROR(D13/D15,"n/m")</f>
        <v>0.0141059082384271</v>
      </c>
      <c r="E25" s="35" t="n">
        <f aca="false">IFERROR(E13/E15,"n/m")</f>
        <v>0.00929191996581856</v>
      </c>
      <c r="F25" s="35" t="n">
        <f aca="false">IFERROR(F13/F15,"n/m")</f>
        <v>0.00735494873938225</v>
      </c>
      <c r="G25" s="35" t="n">
        <f aca="false">IFERROR(G13/G15,"n/m")</f>
        <v>0.00821556350862791</v>
      </c>
    </row>
    <row r="26" customFormat="false" ht="15" hidden="false" customHeight="false" outlineLevel="0" collapsed="false">
      <c r="A26" s="41" t="s">
        <v>353</v>
      </c>
      <c r="B26" s="37" t="n">
        <f aca="false">IFERROR(B14/B15,"n/m")</f>
        <v>0</v>
      </c>
      <c r="C26" s="37" t="n">
        <f aca="false">IFERROR(C14/C15,"n/m")</f>
        <v>-0.00521481890667461</v>
      </c>
      <c r="D26" s="37" t="n">
        <f aca="false">IFERROR(D14/D15,"n/m")</f>
        <v>-0.0335789024253111</v>
      </c>
      <c r="E26" s="37" t="n">
        <f aca="false">IFERROR(E14/E15,"n/m")</f>
        <v>-0.0606932598952375</v>
      </c>
      <c r="F26" s="37" t="n">
        <f aca="false">IFERROR(F14/F15,"n/m")</f>
        <v>-0.0783267391560519</v>
      </c>
      <c r="G26" s="37" t="n">
        <f aca="false">IFERROR(G14/G15,"n/m")</f>
        <v>-0.0711476091781487</v>
      </c>
    </row>
    <row r="27" customFormat="false" ht="15" hidden="false" customHeight="false" outlineLevel="0" collapsed="false">
      <c r="A27" s="38" t="s">
        <v>392</v>
      </c>
      <c r="B27" s="76" t="n">
        <f aca="false">IFERROR(B15/B15,"n/m")</f>
        <v>1</v>
      </c>
      <c r="C27" s="76" t="n">
        <f aca="false">IFERROR(C15/C15,"n/m")</f>
        <v>1</v>
      </c>
      <c r="D27" s="76" t="n">
        <f aca="false">IFERROR(D15/D15,"n/m")</f>
        <v>1</v>
      </c>
      <c r="E27" s="76" t="n">
        <f aca="false">IFERROR(E15/E15,"n/m")</f>
        <v>1</v>
      </c>
      <c r="F27" s="76" t="n">
        <f aca="false">IFERROR(F15/F15,"n/m")</f>
        <v>1</v>
      </c>
      <c r="G27" s="76" t="n">
        <f aca="false">IFERROR(G15/G15,"n/m")</f>
        <v>1</v>
      </c>
    </row>
    <row r="29" customFormat="false" ht="18.75" hidden="false" customHeight="true" outlineLevel="0" collapsed="false">
      <c r="A29" s="23" t="s">
        <v>393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</row>
    <row r="30" customFormat="false" ht="27.75" hidden="false" customHeight="true" outlineLevel="0" collapsed="false">
      <c r="A30" s="11" t="s">
        <v>257</v>
      </c>
      <c r="B30" s="33" t="s">
        <v>394</v>
      </c>
      <c r="C30" s="33" t="s">
        <v>395</v>
      </c>
      <c r="D30" s="33" t="s">
        <v>396</v>
      </c>
      <c r="E30" s="33" t="s">
        <v>397</v>
      </c>
      <c r="F30" s="33" t="s">
        <v>398</v>
      </c>
      <c r="G30" s="33" t="s">
        <v>399</v>
      </c>
      <c r="H30" s="33" t="s">
        <v>400</v>
      </c>
      <c r="I30" s="33" t="s">
        <v>401</v>
      </c>
      <c r="J30" s="33" t="s">
        <v>402</v>
      </c>
      <c r="K30" s="33" t="s">
        <v>403</v>
      </c>
      <c r="L30" s="33" t="s">
        <v>404</v>
      </c>
      <c r="M30" s="33" t="s">
        <v>405</v>
      </c>
      <c r="N30" s="33" t="s">
        <v>406</v>
      </c>
      <c r="O30" s="33" t="s">
        <v>407</v>
      </c>
      <c r="P30" s="33" t="s">
        <v>408</v>
      </c>
      <c r="Q30" s="33" t="s">
        <v>409</v>
      </c>
      <c r="R30" s="33" t="s">
        <v>410</v>
      </c>
      <c r="S30" s="33" t="s">
        <v>411</v>
      </c>
      <c r="T30" s="33" t="s">
        <v>389</v>
      </c>
    </row>
    <row r="31" customFormat="false" ht="15" hidden="false" customHeight="false" outlineLevel="0" collapsed="false">
      <c r="A31" s="58" t="s">
        <v>347</v>
      </c>
      <c r="B31" s="43" t="n">
        <v>0</v>
      </c>
      <c r="C31" s="43" t="n">
        <v>0</v>
      </c>
      <c r="D31" s="43" t="n">
        <v>0</v>
      </c>
      <c r="E31" s="43" t="n">
        <v>0.027</v>
      </c>
      <c r="F31" s="43" t="n">
        <v>0.0765</v>
      </c>
      <c r="G31" s="43" t="n">
        <v>0.1485</v>
      </c>
      <c r="H31" s="43" t="n">
        <v>0.2793783333</v>
      </c>
      <c r="I31" s="43" t="n">
        <v>0.4475241667</v>
      </c>
      <c r="J31" s="43" t="n">
        <v>0.6749433333</v>
      </c>
      <c r="K31" s="43" t="n">
        <v>0.9656591667</v>
      </c>
      <c r="L31" s="43" t="n">
        <v>1.3532828798</v>
      </c>
      <c r="M31" s="43" t="n">
        <v>1.8860045521</v>
      </c>
      <c r="N31" s="43" t="n">
        <v>2.5271729609</v>
      </c>
      <c r="O31" s="43" t="n">
        <v>3.2859927811</v>
      </c>
      <c r="P31" s="43" t="n">
        <v>4.1797442178</v>
      </c>
      <c r="Q31" s="43" t="n">
        <v>5.1884443619</v>
      </c>
      <c r="R31" s="43" t="n">
        <v>6.3778575092</v>
      </c>
      <c r="S31" s="43" t="n">
        <v>7.8062817454</v>
      </c>
      <c r="T31" s="43" t="n">
        <f aca="false">SUM(B31:S31)</f>
        <v>35.2242860082</v>
      </c>
    </row>
    <row r="32" customFormat="false" ht="15" hidden="false" customHeight="false" outlineLevel="0" collapsed="false">
      <c r="A32" s="41" t="s">
        <v>348</v>
      </c>
      <c r="B32" s="45" t="n">
        <v>0</v>
      </c>
      <c r="C32" s="45" t="n">
        <v>0</v>
      </c>
      <c r="D32" s="45" t="n">
        <v>0</v>
      </c>
      <c r="E32" s="45" t="n">
        <v>0.106370281</v>
      </c>
      <c r="F32" s="45" t="n">
        <v>0.312855344</v>
      </c>
      <c r="G32" s="45" t="n">
        <v>0.6311250357</v>
      </c>
      <c r="H32" s="45" t="n">
        <v>1.2787152296</v>
      </c>
      <c r="I32" s="45" t="n">
        <v>2.1599340817</v>
      </c>
      <c r="J32" s="45" t="n">
        <v>3.4163526209</v>
      </c>
      <c r="K32" s="45" t="n">
        <v>5.1058844464</v>
      </c>
      <c r="L32" s="45" t="n">
        <v>7.4302923106</v>
      </c>
      <c r="M32" s="45" t="n">
        <v>11.9209596682</v>
      </c>
      <c r="N32" s="45" t="n">
        <v>16.7721096479</v>
      </c>
      <c r="O32" s="45" t="n">
        <v>22.5812446488</v>
      </c>
      <c r="P32" s="45" t="n">
        <v>29.50833556</v>
      </c>
      <c r="Q32" s="45" t="n">
        <v>38.0486921642</v>
      </c>
      <c r="R32" s="45" t="n">
        <v>48.4628314617</v>
      </c>
      <c r="S32" s="45" t="n">
        <v>60.9644415021</v>
      </c>
      <c r="T32" s="45" t="n">
        <f aca="false">SUM(B32:S32)</f>
        <v>248.7001440028</v>
      </c>
    </row>
    <row r="33" customFormat="false" ht="15" hidden="false" customHeight="false" outlineLevel="0" collapsed="false">
      <c r="A33" s="58" t="s">
        <v>349</v>
      </c>
      <c r="B33" s="43" t="n">
        <v>0</v>
      </c>
      <c r="C33" s="43" t="n">
        <v>0.0144</v>
      </c>
      <c r="D33" s="43" t="n">
        <v>0.0408</v>
      </c>
      <c r="E33" s="43" t="n">
        <v>0.0888</v>
      </c>
      <c r="F33" s="43" t="n">
        <v>0.156</v>
      </c>
      <c r="G33" s="43" t="n">
        <v>0.236</v>
      </c>
      <c r="H33" s="43" t="n">
        <v>0.34</v>
      </c>
      <c r="I33" s="43" t="n">
        <v>0.454</v>
      </c>
      <c r="J33" s="43" t="n">
        <v>0.608</v>
      </c>
      <c r="K33" s="43" t="n">
        <v>0.782</v>
      </c>
      <c r="L33" s="43" t="n">
        <v>1</v>
      </c>
      <c r="M33" s="43" t="n">
        <v>1.24</v>
      </c>
      <c r="N33" s="43" t="n">
        <v>1.52</v>
      </c>
      <c r="O33" s="43" t="n">
        <v>1.82</v>
      </c>
      <c r="P33" s="43" t="n">
        <v>2.18</v>
      </c>
      <c r="Q33" s="43" t="n">
        <v>2.57</v>
      </c>
      <c r="R33" s="43" t="n">
        <v>3</v>
      </c>
      <c r="S33" s="43" t="n">
        <v>3.45</v>
      </c>
      <c r="T33" s="43" t="n">
        <f aca="false">SUM(B33:S33)</f>
        <v>19.5</v>
      </c>
    </row>
    <row r="34" customFormat="false" ht="15" hidden="false" customHeight="false" outlineLevel="0" collapsed="false">
      <c r="A34" s="41" t="s">
        <v>350</v>
      </c>
      <c r="B34" s="45" t="n">
        <v>0</v>
      </c>
      <c r="C34" s="45" t="n">
        <v>0</v>
      </c>
      <c r="D34" s="45" t="n">
        <v>0</v>
      </c>
      <c r="E34" s="45" t="n">
        <v>0</v>
      </c>
      <c r="F34" s="45" t="n">
        <v>0</v>
      </c>
      <c r="G34" s="45" t="n">
        <v>0</v>
      </c>
      <c r="H34" s="45" t="n">
        <v>0.0673845833</v>
      </c>
      <c r="I34" s="45" t="n">
        <v>0.1643585417</v>
      </c>
      <c r="J34" s="45" t="n">
        <v>0.3178058333</v>
      </c>
      <c r="K34" s="45" t="n">
        <v>0.5385122917</v>
      </c>
      <c r="L34" s="45" t="n">
        <v>0.8368445323</v>
      </c>
      <c r="M34" s="45" t="n">
        <v>1.2833754564</v>
      </c>
      <c r="N34" s="45" t="n">
        <v>1.7939113538</v>
      </c>
      <c r="O34" s="45" t="n">
        <v>2.4018704578</v>
      </c>
      <c r="P34" s="45" t="n">
        <v>3.1074266687</v>
      </c>
      <c r="Q34" s="45" t="n">
        <v>3.9054194969</v>
      </c>
      <c r="R34" s="45" t="n">
        <v>4.8521718229</v>
      </c>
      <c r="S34" s="45" t="n">
        <v>5.9769045093</v>
      </c>
      <c r="T34" s="45" t="n">
        <f aca="false">SUM(B34:S34)</f>
        <v>25.2459855481</v>
      </c>
    </row>
    <row r="35" customFormat="false" ht="15" hidden="false" customHeight="false" outlineLevel="0" collapsed="false">
      <c r="A35" s="58" t="s">
        <v>351</v>
      </c>
      <c r="B35" s="43" t="n">
        <v>0</v>
      </c>
      <c r="C35" s="43" t="n">
        <v>0</v>
      </c>
      <c r="D35" s="43" t="n">
        <v>0</v>
      </c>
      <c r="E35" s="43" t="n">
        <v>0</v>
      </c>
      <c r="F35" s="43" t="n">
        <v>0.015012</v>
      </c>
      <c r="G35" s="43" t="n">
        <v>0.0410265</v>
      </c>
      <c r="H35" s="43" t="n">
        <v>0.08413875</v>
      </c>
      <c r="I35" s="43" t="n">
        <v>0.14967</v>
      </c>
      <c r="J35" s="43" t="n">
        <v>0.239355</v>
      </c>
      <c r="K35" s="43" t="n">
        <v>0.35593875</v>
      </c>
      <c r="L35" s="43" t="n">
        <v>0.5057130498</v>
      </c>
      <c r="M35" s="43" t="n">
        <v>0.6919041613</v>
      </c>
      <c r="N35" s="43" t="n">
        <v>0.901385883</v>
      </c>
      <c r="O35" s="43" t="n">
        <v>1.1380322493</v>
      </c>
      <c r="P35" s="43" t="n">
        <v>1.4033958274</v>
      </c>
      <c r="Q35" s="43" t="n">
        <v>1.7040905296</v>
      </c>
      <c r="R35" s="43" t="n">
        <v>2.0535208021</v>
      </c>
      <c r="S35" s="43" t="n">
        <v>2.4685731089</v>
      </c>
      <c r="T35" s="43" t="n">
        <f aca="false">SUM(B35:S35)</f>
        <v>11.7517566114</v>
      </c>
    </row>
    <row r="36" customFormat="false" ht="15" hidden="false" customHeight="false" outlineLevel="0" collapsed="false">
      <c r="A36" s="41" t="s">
        <v>352</v>
      </c>
      <c r="B36" s="45" t="n">
        <v>0</v>
      </c>
      <c r="C36" s="45" t="n">
        <v>0</v>
      </c>
      <c r="D36" s="45" t="n">
        <v>0</v>
      </c>
      <c r="E36" s="45" t="n">
        <v>0</v>
      </c>
      <c r="F36" s="45" t="n">
        <v>0</v>
      </c>
      <c r="G36" s="45" t="n">
        <v>0</v>
      </c>
      <c r="H36" s="45" t="n">
        <v>0</v>
      </c>
      <c r="I36" s="45" t="n">
        <v>0</v>
      </c>
      <c r="J36" s="45" t="n">
        <v>0</v>
      </c>
      <c r="K36" s="45" t="n">
        <v>0</v>
      </c>
      <c r="L36" s="45" t="n">
        <v>0</v>
      </c>
      <c r="M36" s="45" t="n">
        <v>0.5069124662</v>
      </c>
      <c r="N36" s="45" t="n">
        <v>0.8188511164</v>
      </c>
      <c r="O36" s="45" t="n">
        <v>1.1368878673</v>
      </c>
      <c r="P36" s="45" t="n">
        <v>1.4611126071</v>
      </c>
      <c r="Q36" s="45" t="n">
        <v>2.0023546848</v>
      </c>
      <c r="R36" s="45" t="n">
        <v>2.6605278775</v>
      </c>
      <c r="S36" s="45" t="n">
        <v>3.3314771585</v>
      </c>
      <c r="T36" s="45" t="n">
        <f aca="false">SUM(B36:S36)</f>
        <v>11.9181237778</v>
      </c>
    </row>
    <row r="37" customFormat="false" ht="15" hidden="false" customHeight="false" outlineLevel="0" collapsed="false">
      <c r="A37" s="58" t="s">
        <v>97</v>
      </c>
      <c r="B37" s="43" t="n">
        <v>0</v>
      </c>
      <c r="C37" s="43" t="n">
        <v>0</v>
      </c>
      <c r="D37" s="43" t="n">
        <v>0</v>
      </c>
      <c r="E37" s="43" t="n">
        <v>0</v>
      </c>
      <c r="F37" s="43" t="n">
        <v>0.0025</v>
      </c>
      <c r="G37" s="43" t="n">
        <v>0.0175</v>
      </c>
      <c r="H37" s="43" t="n">
        <v>0.03375</v>
      </c>
      <c r="I37" s="43" t="n">
        <v>0.05125</v>
      </c>
      <c r="J37" s="43" t="n">
        <v>0.0725</v>
      </c>
      <c r="K37" s="43" t="n">
        <v>0.0975</v>
      </c>
      <c r="L37" s="43" t="n">
        <v>0.1279424506</v>
      </c>
      <c r="M37" s="43" t="n">
        <v>0.1633973712</v>
      </c>
      <c r="N37" s="43" t="n">
        <v>0.2072205294</v>
      </c>
      <c r="O37" s="43" t="n">
        <v>0.2557575992</v>
      </c>
      <c r="P37" s="43" t="n">
        <v>0.3156779312</v>
      </c>
      <c r="Q37" s="43" t="n">
        <v>0.3820098061</v>
      </c>
      <c r="R37" s="43" t="n">
        <v>0.4576074561</v>
      </c>
      <c r="S37" s="43" t="n">
        <v>0.538678613</v>
      </c>
      <c r="T37" s="43" t="n">
        <f aca="false">SUM(B37:S37)</f>
        <v>2.7232917568</v>
      </c>
    </row>
    <row r="38" customFormat="false" ht="15" hidden="false" customHeight="false" outlineLevel="0" collapsed="false">
      <c r="A38" s="41" t="s">
        <v>353</v>
      </c>
      <c r="B38" s="45" t="n">
        <v>0</v>
      </c>
      <c r="C38" s="45" t="n">
        <v>0</v>
      </c>
      <c r="D38" s="45" t="n">
        <v>0</v>
      </c>
      <c r="E38" s="45" t="n">
        <v>0</v>
      </c>
      <c r="F38" s="45" t="n">
        <v>-0.000607122</v>
      </c>
      <c r="G38" s="45" t="n">
        <v>-0.0092495765</v>
      </c>
      <c r="H38" s="45" t="n">
        <v>-0.0355037544</v>
      </c>
      <c r="I38" s="45" t="n">
        <v>-0.0868501256</v>
      </c>
      <c r="J38" s="45" t="n">
        <v>-0.1739786829</v>
      </c>
      <c r="K38" s="45" t="n">
        <v>-0.3106911022</v>
      </c>
      <c r="L38" s="45" t="n">
        <v>-0.5182124304</v>
      </c>
      <c r="M38" s="45" t="n">
        <v>-0.9364114182</v>
      </c>
      <c r="N38" s="45" t="n">
        <v>-1.4261008589</v>
      </c>
      <c r="O38" s="45" t="n">
        <v>-2.0463533958</v>
      </c>
      <c r="P38" s="45" t="n">
        <v>-2.8106058724</v>
      </c>
      <c r="Q38" s="45" t="n">
        <v>-3.7863078239</v>
      </c>
      <c r="R38" s="45" t="n">
        <v>-4.9878823146</v>
      </c>
      <c r="S38" s="45" t="n">
        <v>-6.4552269968</v>
      </c>
      <c r="T38" s="45" t="n">
        <f aca="false">SUM(B38:S38)</f>
        <v>-23.5839814746</v>
      </c>
    </row>
    <row r="39" customFormat="false" ht="15" hidden="false" customHeight="false" outlineLevel="0" collapsed="false">
      <c r="A39" s="38" t="s">
        <v>354</v>
      </c>
      <c r="B39" s="46" t="n">
        <f aca="false">SUM(B31:B38)</f>
        <v>0</v>
      </c>
      <c r="C39" s="46" t="n">
        <f aca="false">SUM(C31:C38)</f>
        <v>0.0144</v>
      </c>
      <c r="D39" s="46" t="n">
        <f aca="false">SUM(D31:D38)</f>
        <v>0.0408</v>
      </c>
      <c r="E39" s="46" t="n">
        <f aca="false">SUM(E31:E38)</f>
        <v>0.222170281</v>
      </c>
      <c r="F39" s="46" t="n">
        <f aca="false">SUM(F31:F38)</f>
        <v>0.562260222</v>
      </c>
      <c r="G39" s="46" t="n">
        <f aca="false">SUM(G31:G38)</f>
        <v>1.0649019592</v>
      </c>
      <c r="H39" s="46" t="n">
        <f aca="false">SUM(H31:H38)</f>
        <v>2.0478631418</v>
      </c>
      <c r="I39" s="46" t="n">
        <f aca="false">SUM(I31:I38)</f>
        <v>3.3398866645</v>
      </c>
      <c r="J39" s="46" t="n">
        <f aca="false">SUM(J31:J38)</f>
        <v>5.1549781046</v>
      </c>
      <c r="K39" s="46" t="n">
        <f aca="false">SUM(K31:K38)</f>
        <v>7.5348035526</v>
      </c>
      <c r="L39" s="46" t="n">
        <f aca="false">SUM(L31:L38)</f>
        <v>10.7358627927</v>
      </c>
      <c r="M39" s="46" t="n">
        <f aca="false">SUM(M31:M38)</f>
        <v>16.7561422572</v>
      </c>
      <c r="N39" s="46" t="n">
        <f aca="false">SUM(N31:N38)</f>
        <v>23.1145506325</v>
      </c>
      <c r="O39" s="46" t="n">
        <f aca="false">SUM(O31:O38)</f>
        <v>30.5734322077</v>
      </c>
      <c r="P39" s="46" t="n">
        <f aca="false">SUM(P31:P38)</f>
        <v>39.3450869398</v>
      </c>
      <c r="Q39" s="46" t="n">
        <f aca="false">SUM(Q31:Q38)</f>
        <v>50.0147032196</v>
      </c>
      <c r="R39" s="46" t="n">
        <f aca="false">SUM(R31:R38)</f>
        <v>62.8766346149</v>
      </c>
      <c r="S39" s="46" t="n">
        <f aca="false">SUM(S31:S38)</f>
        <v>78.0811296404</v>
      </c>
      <c r="T39" s="46" t="n">
        <f aca="false">SUM(T31:T38)</f>
        <v>331.4796062305</v>
      </c>
    </row>
    <row r="40" customFormat="false" ht="15" hidden="false" customHeight="false" outlineLevel="0" collapsed="false">
      <c r="A40" s="15" t="s">
        <v>412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</sheetData>
  <mergeCells count="7">
    <mergeCell ref="A1:T1"/>
    <mergeCell ref="A2:T2"/>
    <mergeCell ref="A3:T3"/>
    <mergeCell ref="A5:T5"/>
    <mergeCell ref="A17:T17"/>
    <mergeCell ref="A29:T29"/>
    <mergeCell ref="A40:T40"/>
  </mergeCells>
  <conditionalFormatting sqref="B6:T6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</cols>
  <sheetData>
    <row r="1" customFormat="false" ht="30" hidden="false" customHeight="true" outlineLevel="0" collapsed="false">
      <c r="A1" s="20" t="s">
        <v>413</v>
      </c>
      <c r="B1" s="20"/>
      <c r="C1" s="20"/>
      <c r="D1" s="20"/>
      <c r="E1" s="20"/>
      <c r="F1" s="20"/>
      <c r="G1" s="20"/>
    </row>
    <row r="2" customFormat="false" ht="15.75" hidden="false" customHeight="true" outlineLevel="0" collapsed="false">
      <c r="A2" s="21" t="s">
        <v>414</v>
      </c>
      <c r="B2" s="21"/>
      <c r="C2" s="21"/>
      <c r="D2" s="21"/>
      <c r="E2" s="21"/>
      <c r="F2" s="21"/>
      <c r="G2" s="21"/>
    </row>
    <row r="3" customFormat="false" ht="13.5" hidden="false" customHeight="true" outlineLevel="0" collapsed="false">
      <c r="A3" s="22" t="s">
        <v>415</v>
      </c>
      <c r="B3" s="22"/>
      <c r="C3" s="22"/>
      <c r="D3" s="22"/>
      <c r="E3" s="22"/>
      <c r="F3" s="22"/>
      <c r="G3" s="22"/>
    </row>
    <row r="5" customFormat="false" ht="16.5" hidden="false" customHeight="true" outlineLevel="0" collapsed="false">
      <c r="A5" s="11" t="s">
        <v>257</v>
      </c>
      <c r="B5" s="24" t="s">
        <v>258</v>
      </c>
      <c r="C5" s="24" t="s">
        <v>259</v>
      </c>
      <c r="D5" s="24" t="s">
        <v>260</v>
      </c>
      <c r="E5" s="24" t="s">
        <v>261</v>
      </c>
      <c r="F5" s="24" t="s">
        <v>262</v>
      </c>
      <c r="G5" s="24" t="s">
        <v>389</v>
      </c>
    </row>
    <row r="6" customFormat="false" ht="15" hidden="false" customHeight="false" outlineLevel="0" collapsed="false">
      <c r="A6" s="59" t="s">
        <v>416</v>
      </c>
      <c r="B6" s="60" t="n">
        <v>0.0144</v>
      </c>
      <c r="C6" s="60" t="n">
        <v>1.8901324621</v>
      </c>
      <c r="D6" s="60" t="n">
        <v>18.0775314634</v>
      </c>
      <c r="E6" s="60" t="n">
        <v>81.1799878901</v>
      </c>
      <c r="F6" s="60" t="n">
        <v>230.3175544147</v>
      </c>
      <c r="G6" s="60" t="n">
        <f aca="false">SUM(B6:F6)</f>
        <v>331.4796062303</v>
      </c>
    </row>
    <row r="8" customFormat="false" ht="18.75" hidden="false" customHeight="true" outlineLevel="0" collapsed="false">
      <c r="A8" s="23" t="s">
        <v>417</v>
      </c>
      <c r="B8" s="23"/>
      <c r="C8" s="23"/>
      <c r="D8" s="23"/>
      <c r="E8" s="23"/>
      <c r="F8" s="23"/>
      <c r="G8" s="23"/>
    </row>
    <row r="9" customFormat="false" ht="16.5" hidden="false" customHeight="true" outlineLevel="0" collapsed="false">
      <c r="A9" s="11" t="s">
        <v>257</v>
      </c>
      <c r="B9" s="24" t="s">
        <v>258</v>
      </c>
      <c r="C9" s="24" t="s">
        <v>259</v>
      </c>
      <c r="D9" s="24" t="s">
        <v>260</v>
      </c>
      <c r="E9" s="24" t="s">
        <v>261</v>
      </c>
      <c r="F9" s="24" t="s">
        <v>262</v>
      </c>
      <c r="G9" s="24" t="s">
        <v>389</v>
      </c>
    </row>
    <row r="10" customFormat="false" ht="15" hidden="false" customHeight="false" outlineLevel="0" collapsed="false">
      <c r="A10" s="58" t="s">
        <v>418</v>
      </c>
      <c r="B10" s="43" t="n">
        <v>0.0361227224</v>
      </c>
      <c r="C10" s="43" t="n">
        <v>0.6525859853</v>
      </c>
      <c r="D10" s="43" t="n">
        <v>3.9364828399</v>
      </c>
      <c r="E10" s="43" t="n">
        <v>11.47951387</v>
      </c>
      <c r="F10" s="43" t="n">
        <v>24.8987836415</v>
      </c>
      <c r="G10" s="43" t="n">
        <f aca="false">SUM(B10:F10)</f>
        <v>41.0034890591</v>
      </c>
    </row>
    <row r="11" customFormat="false" ht="15" hidden="false" customHeight="false" outlineLevel="0" collapsed="false">
      <c r="A11" s="41" t="s">
        <v>419</v>
      </c>
      <c r="B11" s="45" t="n">
        <v>0</v>
      </c>
      <c r="C11" s="45" t="n">
        <v>0</v>
      </c>
      <c r="D11" s="45" t="n">
        <v>0.0745995417</v>
      </c>
      <c r="E11" s="45" t="n">
        <v>0.1517524427</v>
      </c>
      <c r="F11" s="45" t="n">
        <v>0.289041</v>
      </c>
      <c r="G11" s="45" t="n">
        <f aca="false">SUM(B11:F11)</f>
        <v>0.5153929844</v>
      </c>
    </row>
    <row r="12" customFormat="false" ht="15" hidden="false" customHeight="false" outlineLevel="0" collapsed="false">
      <c r="A12" s="58" t="s">
        <v>420</v>
      </c>
      <c r="B12" s="43" t="n">
        <v>0.0732813119</v>
      </c>
      <c r="C12" s="43" t="n">
        <v>1.0224095295</v>
      </c>
      <c r="D12" s="43" t="n">
        <v>2.8244312633</v>
      </c>
      <c r="E12" s="43" t="n">
        <v>4.9356701414</v>
      </c>
      <c r="F12" s="43" t="n">
        <v>7.0574877373</v>
      </c>
      <c r="G12" s="43" t="n">
        <f aca="false">SUM(B12:F12)</f>
        <v>15.9132799834</v>
      </c>
    </row>
    <row r="13" customFormat="false" ht="15" hidden="false" customHeight="false" outlineLevel="0" collapsed="false">
      <c r="A13" s="38" t="s">
        <v>421</v>
      </c>
      <c r="B13" s="46" t="n">
        <f aca="false">SUM(B10:B12)</f>
        <v>0.1094040343</v>
      </c>
      <c r="C13" s="46" t="n">
        <f aca="false">SUM(C10:C12)</f>
        <v>1.6749955148</v>
      </c>
      <c r="D13" s="46" t="n">
        <f aca="false">SUM(D10:D12)</f>
        <v>6.8355136449</v>
      </c>
      <c r="E13" s="46" t="n">
        <f aca="false">SUM(E10:E12)</f>
        <v>16.5669364541</v>
      </c>
      <c r="F13" s="46" t="n">
        <f aca="false">SUM(F10:F12)</f>
        <v>32.2453123788</v>
      </c>
      <c r="G13" s="46" t="n">
        <f aca="false">SUM(G10:G12)</f>
        <v>57.4321620269</v>
      </c>
    </row>
    <row r="14" customFormat="false" ht="15" hidden="false" customHeight="false" outlineLevel="0" collapsed="false">
      <c r="A14" s="47" t="s">
        <v>265</v>
      </c>
      <c r="B14" s="48" t="n">
        <f aca="false">B6-B13</f>
        <v>-0.0950040343</v>
      </c>
      <c r="C14" s="48" t="n">
        <f aca="false">C6-C13</f>
        <v>0.2151369473</v>
      </c>
      <c r="D14" s="48" t="n">
        <f aca="false">D6-D13</f>
        <v>11.2420178185</v>
      </c>
      <c r="E14" s="48" t="n">
        <f aca="false">E6-E13</f>
        <v>64.613051436</v>
      </c>
      <c r="F14" s="48" t="n">
        <f aca="false">F6-F13</f>
        <v>198.0722420359</v>
      </c>
      <c r="G14" s="48" t="n">
        <f aca="false">G6-G13</f>
        <v>274.0474442034</v>
      </c>
    </row>
    <row r="15" customFormat="false" ht="15" hidden="false" customHeight="false" outlineLevel="0" collapsed="false">
      <c r="A15" s="58" t="s">
        <v>266</v>
      </c>
      <c r="B15" s="35" t="str">
        <f aca="false">IF(B6&lt;0.05,"n/m",B14/B6)</f>
        <v>n/m</v>
      </c>
      <c r="C15" s="35" t="n">
        <f aca="false">IF(C6&lt;0.05,"n/m",C14/C6)</f>
        <v>0.113821095406708</v>
      </c>
      <c r="D15" s="35" t="n">
        <f aca="false">IF(D6&lt;0.05,"n/m",D14/D6)</f>
        <v>0.621877928480486</v>
      </c>
      <c r="E15" s="35" t="n">
        <f aca="false">IF(E6&lt;0.05,"n/m",E14/E6)</f>
        <v>0.79592339337956</v>
      </c>
      <c r="F15" s="35" t="n">
        <f aca="false">IF(F6&lt;0.05,"n/m",F14/F6)</f>
        <v>0.859996288772933</v>
      </c>
      <c r="G15" s="35" t="n">
        <f aca="false">IF(G6&lt;0.05,"n/m",G14/G6)</f>
        <v>0.826739983554227</v>
      </c>
    </row>
    <row r="17" customFormat="false" ht="18.75" hidden="false" customHeight="true" outlineLevel="0" collapsed="false">
      <c r="A17" s="23" t="s">
        <v>422</v>
      </c>
      <c r="B17" s="23"/>
      <c r="C17" s="23"/>
      <c r="D17" s="23"/>
      <c r="E17" s="23"/>
      <c r="F17" s="23"/>
      <c r="G17" s="23"/>
    </row>
    <row r="18" customFormat="false" ht="16.5" hidden="false" customHeight="true" outlineLevel="0" collapsed="false">
      <c r="A18" s="11" t="s">
        <v>257</v>
      </c>
      <c r="B18" s="24" t="s">
        <v>258</v>
      </c>
      <c r="C18" s="24" t="s">
        <v>259</v>
      </c>
      <c r="D18" s="24" t="s">
        <v>260</v>
      </c>
      <c r="E18" s="24" t="s">
        <v>261</v>
      </c>
      <c r="F18" s="24" t="s">
        <v>262</v>
      </c>
      <c r="G18" s="24" t="s">
        <v>389</v>
      </c>
    </row>
    <row r="19" customFormat="false" ht="15" hidden="false" customHeight="false" outlineLevel="0" collapsed="false">
      <c r="A19" s="58" t="s">
        <v>356</v>
      </c>
      <c r="B19" s="43" t="n">
        <v>0</v>
      </c>
      <c r="C19" s="43" t="n">
        <v>0</v>
      </c>
      <c r="D19" s="43" t="n">
        <v>0.54</v>
      </c>
      <c r="E19" s="43" t="n">
        <v>2.43</v>
      </c>
      <c r="F19" s="43" t="n">
        <v>4.92</v>
      </c>
      <c r="G19" s="43" t="n">
        <f aca="false">SUM(B19:F19)</f>
        <v>7.89</v>
      </c>
    </row>
    <row r="20" customFormat="false" ht="15" hidden="false" customHeight="false" outlineLevel="0" collapsed="false">
      <c r="A20" s="41" t="s">
        <v>357</v>
      </c>
      <c r="B20" s="45" t="n">
        <v>2.940375323</v>
      </c>
      <c r="C20" s="45" t="n">
        <v>19.7374739836</v>
      </c>
      <c r="D20" s="45" t="n">
        <v>44.8221246862</v>
      </c>
      <c r="E20" s="45" t="n">
        <v>74.1895670052</v>
      </c>
      <c r="F20" s="45" t="n">
        <v>105.6075041045</v>
      </c>
      <c r="G20" s="45" t="n">
        <f aca="false">SUM(B20:F20)</f>
        <v>247.2970451025</v>
      </c>
    </row>
    <row r="21" customFormat="false" ht="15" hidden="false" customHeight="false" outlineLevel="0" collapsed="false">
      <c r="A21" s="58" t="s">
        <v>358</v>
      </c>
      <c r="B21" s="43" t="n">
        <v>0</v>
      </c>
      <c r="C21" s="43" t="n">
        <v>0.66</v>
      </c>
      <c r="D21" s="43" t="n">
        <v>1.44</v>
      </c>
      <c r="E21" s="43" t="n">
        <v>1.82</v>
      </c>
      <c r="F21" s="43" t="n">
        <v>2.38</v>
      </c>
      <c r="G21" s="43" t="n">
        <f aca="false">SUM(B21:F21)</f>
        <v>6.3</v>
      </c>
    </row>
    <row r="22" customFormat="false" ht="15" hidden="false" customHeight="false" outlineLevel="0" collapsed="false">
      <c r="A22" s="41" t="s">
        <v>359</v>
      </c>
      <c r="B22" s="45" t="n">
        <v>0.3</v>
      </c>
      <c r="C22" s="45" t="n">
        <v>0.86</v>
      </c>
      <c r="D22" s="45" t="n">
        <v>1.47</v>
      </c>
      <c r="E22" s="45" t="n">
        <v>2.55</v>
      </c>
      <c r="F22" s="45" t="n">
        <v>2.26</v>
      </c>
      <c r="G22" s="45" t="n">
        <f aca="false">SUM(B22:F22)</f>
        <v>7.44</v>
      </c>
    </row>
    <row r="23" customFormat="false" ht="15" hidden="false" customHeight="false" outlineLevel="0" collapsed="false">
      <c r="A23" s="58" t="s">
        <v>360</v>
      </c>
      <c r="B23" s="43" t="n">
        <v>0.072</v>
      </c>
      <c r="C23" s="43" t="n">
        <v>0.264</v>
      </c>
      <c r="D23" s="43" t="n">
        <v>0.552</v>
      </c>
      <c r="E23" s="43" t="n">
        <v>0.93</v>
      </c>
      <c r="F23" s="43" t="n">
        <v>1.14</v>
      </c>
      <c r="G23" s="43" t="n">
        <f aca="false">SUM(B23:F23)</f>
        <v>2.958</v>
      </c>
    </row>
    <row r="24" customFormat="false" ht="15" hidden="false" customHeight="false" outlineLevel="0" collapsed="false">
      <c r="A24" s="41" t="s">
        <v>361</v>
      </c>
      <c r="B24" s="45" t="n">
        <v>0.220344</v>
      </c>
      <c r="C24" s="45" t="n">
        <v>1.2751678824</v>
      </c>
      <c r="D24" s="45" t="n">
        <v>4.5692667476</v>
      </c>
      <c r="E24" s="45" t="n">
        <v>14.2976983652</v>
      </c>
      <c r="F24" s="45" t="n">
        <v>35.360069846</v>
      </c>
      <c r="G24" s="45" t="n">
        <f aca="false">SUM(B24:F24)</f>
        <v>55.7225468412</v>
      </c>
    </row>
    <row r="25" customFormat="false" ht="15" hidden="false" customHeight="false" outlineLevel="0" collapsed="false">
      <c r="A25" s="58" t="s">
        <v>362</v>
      </c>
      <c r="B25" s="43" t="n">
        <v>0.2643</v>
      </c>
      <c r="C25" s="43" t="n">
        <v>1.0283</v>
      </c>
      <c r="D25" s="43" t="n">
        <v>1.8567</v>
      </c>
      <c r="E25" s="43" t="n">
        <v>2.7003</v>
      </c>
      <c r="F25" s="43" t="n">
        <v>3.466</v>
      </c>
      <c r="G25" s="43" t="n">
        <f aca="false">SUM(B25:F25)</f>
        <v>9.3156</v>
      </c>
    </row>
    <row r="26" customFormat="false" ht="15" hidden="false" customHeight="false" outlineLevel="0" collapsed="false">
      <c r="A26" s="41" t="s">
        <v>363</v>
      </c>
      <c r="B26" s="45" t="n">
        <v>0.0001296</v>
      </c>
      <c r="C26" s="45" t="n">
        <v>0.1430111922</v>
      </c>
      <c r="D26" s="45" t="n">
        <v>0.3306977832</v>
      </c>
      <c r="E26" s="45" t="n">
        <v>0.898619891</v>
      </c>
      <c r="F26" s="45" t="n">
        <v>2.2408579897</v>
      </c>
      <c r="G26" s="45" t="n">
        <f aca="false">SUM(B26:F26)</f>
        <v>3.6133164561</v>
      </c>
    </row>
    <row r="27" customFormat="false" ht="15" hidden="false" customHeight="false" outlineLevel="0" collapsed="false">
      <c r="A27" s="58" t="s">
        <v>364</v>
      </c>
      <c r="B27" s="43" t="n">
        <v>0.362916</v>
      </c>
      <c r="C27" s="43" t="n">
        <v>1.5690519869</v>
      </c>
      <c r="D27" s="43" t="n">
        <v>3.163462972</v>
      </c>
      <c r="E27" s="43" t="n">
        <v>5.4863998183</v>
      </c>
      <c r="F27" s="43" t="n">
        <v>8.9727633162</v>
      </c>
      <c r="G27" s="43" t="n">
        <f aca="false">SUM(B27:F27)</f>
        <v>19.5545940934</v>
      </c>
    </row>
    <row r="28" customFormat="false" ht="15" hidden="false" customHeight="false" outlineLevel="0" collapsed="false">
      <c r="A28" s="41" t="s">
        <v>194</v>
      </c>
      <c r="B28" s="45" t="n">
        <v>0.2288035708</v>
      </c>
      <c r="C28" s="45" t="n">
        <v>1.4045352775</v>
      </c>
      <c r="D28" s="45" t="n">
        <v>3.2309338704</v>
      </c>
      <c r="E28" s="45" t="n">
        <v>5.7916421794</v>
      </c>
      <c r="F28" s="45" t="n">
        <v>9.1490957391</v>
      </c>
      <c r="G28" s="45" t="n">
        <f aca="false">SUM(B28:F28)</f>
        <v>19.8050106372</v>
      </c>
    </row>
    <row r="29" customFormat="false" ht="15" hidden="false" customHeight="false" outlineLevel="0" collapsed="false">
      <c r="A29" s="38" t="s">
        <v>365</v>
      </c>
      <c r="B29" s="46" t="n">
        <f aca="false">SUM(B19:B28)</f>
        <v>4.3888684938</v>
      </c>
      <c r="C29" s="46" t="n">
        <f aca="false">SUM(C19:C28)</f>
        <v>26.9415403226</v>
      </c>
      <c r="D29" s="46" t="n">
        <f aca="false">SUM(D19:D28)</f>
        <v>61.9751860594</v>
      </c>
      <c r="E29" s="46" t="n">
        <f aca="false">SUM(E19:E28)</f>
        <v>111.0942272591</v>
      </c>
      <c r="F29" s="46" t="n">
        <f aca="false">SUM(F19:F28)</f>
        <v>175.4962909955</v>
      </c>
      <c r="G29" s="46" t="n">
        <f aca="false">SUM(G19:G28)</f>
        <v>379.8961131304</v>
      </c>
    </row>
    <row r="30" customFormat="false" ht="15" hidden="false" customHeight="false" outlineLevel="0" collapsed="false">
      <c r="A30" s="38" t="s">
        <v>268</v>
      </c>
      <c r="B30" s="46" t="n">
        <f aca="false">B14-B29</f>
        <v>-4.4838725281</v>
      </c>
      <c r="C30" s="46" t="n">
        <f aca="false">C14-C29</f>
        <v>-26.7264033753</v>
      </c>
      <c r="D30" s="46" t="n">
        <f aca="false">D14-D29</f>
        <v>-50.7331682409</v>
      </c>
      <c r="E30" s="46" t="n">
        <f aca="false">E14-E29</f>
        <v>-46.4811758231</v>
      </c>
      <c r="F30" s="46" t="n">
        <f aca="false">F14-F29</f>
        <v>22.5759510404</v>
      </c>
      <c r="G30" s="46" t="n">
        <f aca="false">G14-G29</f>
        <v>-105.848668927</v>
      </c>
    </row>
    <row r="32" customFormat="false" ht="18.75" hidden="false" customHeight="true" outlineLevel="0" collapsed="false">
      <c r="A32" s="6" t="s">
        <v>423</v>
      </c>
      <c r="B32" s="6"/>
      <c r="C32" s="6"/>
      <c r="D32" s="6"/>
      <c r="E32" s="6"/>
      <c r="F32" s="6"/>
      <c r="G32" s="6"/>
    </row>
    <row r="33" customFormat="false" ht="16.5" hidden="false" customHeight="true" outlineLevel="0" collapsed="false">
      <c r="A33" s="11" t="s">
        <v>391</v>
      </c>
      <c r="B33" s="24" t="s">
        <v>258</v>
      </c>
      <c r="C33" s="24" t="s">
        <v>259</v>
      </c>
      <c r="D33" s="24" t="s">
        <v>260</v>
      </c>
      <c r="E33" s="24" t="s">
        <v>261</v>
      </c>
      <c r="F33" s="24" t="s">
        <v>262</v>
      </c>
      <c r="G33" s="24" t="s">
        <v>389</v>
      </c>
    </row>
    <row r="34" customFormat="false" ht="15" hidden="false" customHeight="false" outlineLevel="0" collapsed="false">
      <c r="A34" s="47" t="s">
        <v>421</v>
      </c>
      <c r="B34" s="72" t="str">
        <f aca="false">IF(B6&lt;0.05,"n/m",B13/B6)</f>
        <v>n/m</v>
      </c>
      <c r="C34" s="72" t="n">
        <f aca="false">IF(C6&lt;0.05,"n/m",C13/C6)</f>
        <v>0.886178904593292</v>
      </c>
      <c r="D34" s="72" t="n">
        <f aca="false">IF(D6&lt;0.05,"n/m",D13/D6)</f>
        <v>0.378122071519514</v>
      </c>
      <c r="E34" s="72" t="n">
        <f aca="false">IF(E6&lt;0.05,"n/m",E13/E6)</f>
        <v>0.20407660662044</v>
      </c>
      <c r="F34" s="72" t="n">
        <f aca="false">IF(F6&lt;0.05,"n/m",F13/F6)</f>
        <v>0.140003711227067</v>
      </c>
      <c r="G34" s="72" t="n">
        <f aca="false">IF(G6&lt;0.05,"n/m",G13/G6)</f>
        <v>0.173260016445773</v>
      </c>
    </row>
    <row r="35" customFormat="false" ht="15" hidden="false" customHeight="false" outlineLevel="0" collapsed="false">
      <c r="A35" s="58" t="s">
        <v>418</v>
      </c>
      <c r="B35" s="35" t="str">
        <f aca="false">IF(B6&lt;0.05,"n/m",B10/B6)</f>
        <v>n/m</v>
      </c>
      <c r="C35" s="35" t="n">
        <f aca="false">IF(C6&lt;0.05,"n/m",C10/C6)</f>
        <v>0.345259392336427</v>
      </c>
      <c r="D35" s="35" t="n">
        <f aca="false">IF(D6&lt;0.05,"n/m",D10/D6)</f>
        <v>0.217755551850088</v>
      </c>
      <c r="E35" s="35" t="n">
        <f aca="false">IF(E6&lt;0.05,"n/m",E10/E6)</f>
        <v>0.141408174210875</v>
      </c>
      <c r="F35" s="35" t="n">
        <f aca="false">IF(F6&lt;0.05,"n/m",F10/F6)</f>
        <v>0.108106321746836</v>
      </c>
      <c r="G35" s="35" t="n">
        <f aca="false">IF(G6&lt;0.05,"n/m",G10/G6)</f>
        <v>0.123698376275409</v>
      </c>
    </row>
    <row r="36" customFormat="false" ht="15" hidden="false" customHeight="false" outlineLevel="0" collapsed="false">
      <c r="A36" s="58" t="s">
        <v>419</v>
      </c>
      <c r="B36" s="35" t="str">
        <f aca="false">IF(B6&lt;0.05,"n/m",B11/B6)</f>
        <v>n/m</v>
      </c>
      <c r="C36" s="35" t="n">
        <f aca="false">IF(C6&lt;0.05,"n/m",C11/C6)</f>
        <v>0</v>
      </c>
      <c r="D36" s="35" t="n">
        <f aca="false">IF(D6&lt;0.05,"n/m",D11/D6)</f>
        <v>0.00412664427391733</v>
      </c>
      <c r="E36" s="35" t="n">
        <f aca="false">IF(E6&lt;0.05,"n/m",E11/E6)</f>
        <v>0.00186933315271542</v>
      </c>
      <c r="F36" s="35" t="n">
        <f aca="false">IF(F6&lt;0.05,"n/m",F11/F6)</f>
        <v>0.00125496730257723</v>
      </c>
      <c r="G36" s="35" t="n">
        <f aca="false">IF(G6&lt;0.05,"n/m",G11/G6)</f>
        <v>0.00155482562037896</v>
      </c>
    </row>
    <row r="37" customFormat="false" ht="15" hidden="false" customHeight="false" outlineLevel="0" collapsed="false">
      <c r="A37" s="58" t="s">
        <v>420</v>
      </c>
      <c r="B37" s="35" t="str">
        <f aca="false">IF(B6&lt;0.05,"n/m",B12/B6)</f>
        <v>n/m</v>
      </c>
      <c r="C37" s="35" t="n">
        <f aca="false">IF(C6&lt;0.05,"n/m",C12/C6)</f>
        <v>0.540919512256865</v>
      </c>
      <c r="D37" s="35" t="n">
        <f aca="false">IF(D6&lt;0.05,"n/m",D12/D6)</f>
        <v>0.156239875395509</v>
      </c>
      <c r="E37" s="35" t="n">
        <f aca="false">IF(E6&lt;0.05,"n/m",E12/E6)</f>
        <v>0.0607990992568491</v>
      </c>
      <c r="F37" s="35" t="n">
        <f aca="false">IF(F6&lt;0.05,"n/m",F12/F6)</f>
        <v>0.0306424221776538</v>
      </c>
      <c r="G37" s="35" t="n">
        <f aca="false">IF(G6&lt;0.05,"n/m",G12/G6)</f>
        <v>0.0480068145499848</v>
      </c>
    </row>
    <row r="38" customFormat="false" ht="15" hidden="false" customHeight="false" outlineLevel="0" collapsed="false">
      <c r="A38" s="58" t="s">
        <v>356</v>
      </c>
      <c r="B38" s="35" t="str">
        <f aca="false">IF(B6&lt;0.05,"n/m",B19/B6)</f>
        <v>n/m</v>
      </c>
      <c r="C38" s="35" t="n">
        <f aca="false">IF(C6&lt;0.05,"n/m",C19/C6)</f>
        <v>0</v>
      </c>
      <c r="D38" s="35" t="n">
        <f aca="false">IF(D6&lt;0.05,"n/m",D19/D6)</f>
        <v>0.0298713350931398</v>
      </c>
      <c r="E38" s="35" t="n">
        <f aca="false">IF(E6&lt;0.05,"n/m",E19/E6)</f>
        <v>0.0299334856182744</v>
      </c>
      <c r="F38" s="35" t="n">
        <f aca="false">IF(F6&lt;0.05,"n/m",F19/F6)</f>
        <v>0.0213618107074082</v>
      </c>
      <c r="G38" s="35" t="n">
        <f aca="false">IF(G6&lt;0.05,"n/m",G19/G6)</f>
        <v>0.0238023692912146</v>
      </c>
    </row>
    <row r="39" customFormat="false" ht="15" hidden="false" customHeight="false" outlineLevel="0" collapsed="false">
      <c r="A39" s="41" t="s">
        <v>357</v>
      </c>
      <c r="B39" s="37" t="str">
        <f aca="false">IF(B6&lt;0.05,"n/m",B20/B6)</f>
        <v>n/m</v>
      </c>
      <c r="C39" s="37" t="n">
        <f aca="false">IF(C6&lt;0.05,"n/m",C20/C6)</f>
        <v>10.4423760658928</v>
      </c>
      <c r="D39" s="37" t="n">
        <f aca="false">IF(D6&lt;0.05,"n/m",D20/D6)</f>
        <v>2.47943834460736</v>
      </c>
      <c r="E39" s="37" t="n">
        <f aca="false">IF(E6&lt;0.05,"n/m",E20/E6)</f>
        <v>0.913889850607474</v>
      </c>
      <c r="F39" s="37" t="n">
        <f aca="false">IF(F6&lt;0.05,"n/m",F20/F6)</f>
        <v>0.45852998210613</v>
      </c>
      <c r="G39" s="37" t="n">
        <f aca="false">IF(G6&lt;0.05,"n/m",G20/G6)</f>
        <v>0.746039999005812</v>
      </c>
    </row>
    <row r="40" customFormat="false" ht="15" hidden="false" customHeight="false" outlineLevel="0" collapsed="false">
      <c r="A40" s="58" t="s">
        <v>358</v>
      </c>
      <c r="B40" s="35" t="str">
        <f aca="false">IF(B6&lt;0.05,"n/m",B21/B6)</f>
        <v>n/m</v>
      </c>
      <c r="C40" s="35" t="n">
        <f aca="false">IF(C6&lt;0.05,"n/m",C21/C6)</f>
        <v>0.349181876526642</v>
      </c>
      <c r="D40" s="35" t="n">
        <f aca="false">IF(D6&lt;0.05,"n/m",D21/D6)</f>
        <v>0.0796568935817062</v>
      </c>
      <c r="E40" s="35" t="n">
        <f aca="false">IF(E6&lt;0.05,"n/m",E21/E6)</f>
        <v>0.0224193184466088</v>
      </c>
      <c r="F40" s="35" t="n">
        <f aca="false">IF(F6&lt;0.05,"n/m",F21/F6)</f>
        <v>0.0103335588381365</v>
      </c>
      <c r="G40" s="35" t="n">
        <f aca="false">IF(G6&lt;0.05,"n/m",G21/G6)</f>
        <v>0.0190056941108558</v>
      </c>
    </row>
    <row r="41" customFormat="false" ht="15" hidden="false" customHeight="false" outlineLevel="0" collapsed="false">
      <c r="A41" s="41" t="s">
        <v>359</v>
      </c>
      <c r="B41" s="37" t="str">
        <f aca="false">IF(B6&lt;0.05,"n/m",B22/B6)</f>
        <v>n/m</v>
      </c>
      <c r="C41" s="37" t="n">
        <f aca="false">IF(C6&lt;0.05,"n/m",C22/C6)</f>
        <v>0.4549945663832</v>
      </c>
      <c r="D41" s="37" t="n">
        <f aca="false">IF(D6&lt;0.05,"n/m",D22/D6)</f>
        <v>0.0813164121979918</v>
      </c>
      <c r="E41" s="37" t="n">
        <f aca="false">IF(E6&lt;0.05,"n/m",E22/E6)</f>
        <v>0.03141168243893</v>
      </c>
      <c r="F41" s="37" t="n">
        <f aca="false">IF(F6&lt;0.05,"n/m",F22/F6)</f>
        <v>0.00981253906478505</v>
      </c>
      <c r="G41" s="37" t="n">
        <f aca="false">IF(G6&lt;0.05,"n/m",G22/G6)</f>
        <v>0.0224448197118678</v>
      </c>
    </row>
    <row r="42" customFormat="false" ht="15" hidden="false" customHeight="false" outlineLevel="0" collapsed="false">
      <c r="A42" s="58" t="s">
        <v>360</v>
      </c>
      <c r="B42" s="35" t="str">
        <f aca="false">IF(B6&lt;0.05,"n/m",B23/B6)</f>
        <v>n/m</v>
      </c>
      <c r="C42" s="35" t="n">
        <f aca="false">IF(C6&lt;0.05,"n/m",C23/C6)</f>
        <v>0.139672750610657</v>
      </c>
      <c r="D42" s="35" t="n">
        <f aca="false">IF(D6&lt;0.05,"n/m",D23/D6)</f>
        <v>0.0305351425396541</v>
      </c>
      <c r="E42" s="35" t="n">
        <f aca="false">IF(E6&lt;0.05,"n/m",E23/E6)</f>
        <v>0.0114560253600803</v>
      </c>
      <c r="F42" s="35" t="n">
        <f aca="false">IF(F6&lt;0.05,"n/m",F23/F6)</f>
        <v>0.00494968784683848</v>
      </c>
      <c r="G42" s="35" t="n">
        <f aca="false">IF(G6&lt;0.05,"n/m",G23/G6)</f>
        <v>0.00892362590157323</v>
      </c>
    </row>
    <row r="43" customFormat="false" ht="15" hidden="false" customHeight="false" outlineLevel="0" collapsed="false">
      <c r="A43" s="41" t="s">
        <v>361</v>
      </c>
      <c r="B43" s="37" t="str">
        <f aca="false">IF(B6&lt;0.05,"n/m",B24/B6)</f>
        <v>n/m</v>
      </c>
      <c r="C43" s="37" t="n">
        <f aca="false">IF(C6&lt;0.05,"n/m",C24/C6)</f>
        <v>0.674644718277176</v>
      </c>
      <c r="D43" s="37" t="n">
        <f aca="false">IF(D6&lt;0.05,"n/m",D24/D6)</f>
        <v>0.25275944101389</v>
      </c>
      <c r="E43" s="37" t="n">
        <f aca="false">IF(E6&lt;0.05,"n/m",E24/E6)</f>
        <v>0.176123435551086</v>
      </c>
      <c r="F43" s="37" t="n">
        <f aca="false">IF(F6&lt;0.05,"n/m",F24/F6)</f>
        <v>0.153527463140444</v>
      </c>
      <c r="G43" s="37" t="n">
        <f aca="false">IF(G6&lt;0.05,"n/m",G24/G6)</f>
        <v>0.168102488943124</v>
      </c>
    </row>
    <row r="44" customFormat="false" ht="15" hidden="false" customHeight="false" outlineLevel="0" collapsed="false">
      <c r="A44" s="58" t="s">
        <v>362</v>
      </c>
      <c r="B44" s="35" t="str">
        <f aca="false">IF(B6&lt;0.05,"n/m",B25/B6)</f>
        <v>n/m</v>
      </c>
      <c r="C44" s="35" t="n">
        <f aca="false">IF(C6&lt;0.05,"n/m",C25/C6)</f>
        <v>0.544035944897494</v>
      </c>
      <c r="D44" s="35" t="n">
        <f aca="false">IF(D6&lt;0.05,"n/m",D25/D6)</f>
        <v>0.102707607161912</v>
      </c>
      <c r="E44" s="35" t="n">
        <f aca="false">IF(E6&lt;0.05,"n/m",E25/E6)</f>
        <v>0.033263123956801</v>
      </c>
      <c r="F44" s="35" t="n">
        <f aca="false">IF(F6&lt;0.05,"n/m",F25/F6)</f>
        <v>0.0150487877869668</v>
      </c>
      <c r="G44" s="35" t="n">
        <f aca="false">IF(G6&lt;0.05,"n/m",G25/G6)</f>
        <v>0.0281030863585854</v>
      </c>
    </row>
    <row r="45" customFormat="false" ht="15" hidden="false" customHeight="false" outlineLevel="0" collapsed="false">
      <c r="A45" s="41" t="s">
        <v>363</v>
      </c>
      <c r="B45" s="37" t="str">
        <f aca="false">IF(B6&lt;0.05,"n/m",B26/B6)</f>
        <v>n/m</v>
      </c>
      <c r="C45" s="37" t="n">
        <f aca="false">IF(C6&lt;0.05,"n/m",C26/C6)</f>
        <v>0.0756619946313762</v>
      </c>
      <c r="D45" s="37" t="n">
        <f aca="false">IF(D6&lt;0.05,"n/m",D26/D6)</f>
        <v>0.0182933042528254</v>
      </c>
      <c r="E45" s="37" t="n">
        <f aca="false">IF(E6&lt;0.05,"n/m",E26/E6)</f>
        <v>0.0110694755487835</v>
      </c>
      <c r="F45" s="37" t="n">
        <f aca="false">IF(F6&lt;0.05,"n/m",F26/F6)</f>
        <v>0.00972942768255175</v>
      </c>
      <c r="G45" s="37" t="n">
        <f aca="false">IF(G6&lt;0.05,"n/m",G26/G6)</f>
        <v>0.0109005694111679</v>
      </c>
    </row>
    <row r="46" customFormat="false" ht="15" hidden="false" customHeight="false" outlineLevel="0" collapsed="false">
      <c r="A46" s="58" t="s">
        <v>364</v>
      </c>
      <c r="B46" s="35" t="str">
        <f aca="false">IF(B6&lt;0.05,"n/m",B27/B6)</f>
        <v>n/m</v>
      </c>
      <c r="C46" s="35" t="n">
        <f aca="false">IF(C6&lt;0.05,"n/m",C27/C6)</f>
        <v>0.83012805629333</v>
      </c>
      <c r="D46" s="35" t="n">
        <f aca="false">IF(D6&lt;0.05,"n/m",D27/D6)</f>
        <v>0.1749941897988</v>
      </c>
      <c r="E46" s="35" t="n">
        <f aca="false">IF(E6&lt;0.05,"n/m",E27/E6)</f>
        <v>0.0675831564021344</v>
      </c>
      <c r="F46" s="35" t="n">
        <f aca="false">IF(F6&lt;0.05,"n/m",F27/F6)</f>
        <v>0.0389582259111871</v>
      </c>
      <c r="G46" s="35" t="n">
        <f aca="false">IF(G6&lt;0.05,"n/m",G27/G6)</f>
        <v>0.0589918466350964</v>
      </c>
    </row>
    <row r="47" customFormat="false" ht="15" hidden="false" customHeight="false" outlineLevel="0" collapsed="false">
      <c r="A47" s="41" t="s">
        <v>194</v>
      </c>
      <c r="B47" s="37" t="str">
        <f aca="false">IF(B6&lt;0.05,"n/m",B28/B6)</f>
        <v>n/m</v>
      </c>
      <c r="C47" s="37" t="n">
        <f aca="false">IF(C6&lt;0.05,"n/m",C28/C6)</f>
        <v>0.743088278553512</v>
      </c>
      <c r="D47" s="37" t="n">
        <f aca="false">IF(D6&lt;0.05,"n/m",D28/D6)</f>
        <v>0.178726496863877</v>
      </c>
      <c r="E47" s="37" t="n">
        <f aca="false">IF(E6&lt;0.05,"n/m",E28/E6)</f>
        <v>0.0713432254663627</v>
      </c>
      <c r="F47" s="37" t="n">
        <f aca="false">IF(F6&lt;0.05,"n/m",F28/F6)</f>
        <v>0.0397238315696359</v>
      </c>
      <c r="G47" s="37" t="n">
        <f aca="false">IF(G6&lt;0.05,"n/m",G28/G6)</f>
        <v>0.0597472974655346</v>
      </c>
    </row>
    <row r="48" customFormat="false" ht="15" hidden="false" customHeight="false" outlineLevel="0" collapsed="false">
      <c r="A48" s="38" t="s">
        <v>365</v>
      </c>
      <c r="B48" s="76" t="str">
        <f aca="false">IF(B6&lt;0.05,"n/m",B29/B6)</f>
        <v>n/m</v>
      </c>
      <c r="C48" s="76" t="n">
        <f aca="false">IF(C6&lt;0.05,"n/m",C29/C6)</f>
        <v>14.2537842520662</v>
      </c>
      <c r="D48" s="76" t="n">
        <f aca="false">IF(D6&lt;0.05,"n/m",D29/D6)</f>
        <v>3.42829916711116</v>
      </c>
      <c r="E48" s="76" t="n">
        <f aca="false">IF(E6&lt;0.05,"n/m",E29/E6)</f>
        <v>1.36849277939654</v>
      </c>
      <c r="F48" s="76" t="n">
        <f aca="false">IF(F6&lt;0.05,"n/m",F29/F6)</f>
        <v>0.761975314654083</v>
      </c>
      <c r="G48" s="76" t="n">
        <f aca="false">IF(G6&lt;0.05,"n/m",G29/G6)</f>
        <v>1.14606179683483</v>
      </c>
    </row>
    <row r="49" customFormat="false" ht="15" hidden="false" customHeight="false" outlineLevel="0" collapsed="false">
      <c r="A49" s="15" t="s">
        <v>424</v>
      </c>
      <c r="B49" s="15"/>
      <c r="C49" s="15"/>
      <c r="D49" s="15"/>
      <c r="E49" s="15"/>
      <c r="F49" s="15"/>
      <c r="G49" s="15"/>
    </row>
    <row r="50" customFormat="false" ht="15" hidden="false" customHeight="false" outlineLevel="0" collapsed="false">
      <c r="A50" s="15" t="s">
        <v>425</v>
      </c>
      <c r="B50" s="15"/>
      <c r="C50" s="15"/>
      <c r="D50" s="15"/>
      <c r="E50" s="15"/>
      <c r="F50" s="15"/>
      <c r="G50" s="15"/>
    </row>
  </sheetData>
  <mergeCells count="8">
    <mergeCell ref="A1:G1"/>
    <mergeCell ref="A2:G2"/>
    <mergeCell ref="A3:G3"/>
    <mergeCell ref="A8:G8"/>
    <mergeCell ref="A17:G17"/>
    <mergeCell ref="A32:G32"/>
    <mergeCell ref="A49:G49"/>
    <mergeCell ref="A50:G50"/>
  </mergeCells>
  <conditionalFormatting sqref="B6:G5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2"/>
  </cols>
  <sheetData>
    <row r="1" customFormat="false" ht="30" hidden="false" customHeight="true" outlineLevel="0" collapsed="false">
      <c r="A1" s="20" t="s">
        <v>426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5.75" hidden="false" customHeight="true" outlineLevel="0" collapsed="false">
      <c r="A2" s="21" t="s">
        <v>427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13.5" hidden="false" customHeight="true" outlineLevel="0" collapsed="false">
      <c r="A3" s="22" t="s">
        <v>428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5" customFormat="false" ht="27.75" hidden="false" customHeight="true" outlineLevel="0" collapsed="false">
      <c r="A5" s="11" t="s">
        <v>429</v>
      </c>
      <c r="B5" s="33" t="s">
        <v>175</v>
      </c>
      <c r="C5" s="33" t="s">
        <v>176</v>
      </c>
      <c r="D5" s="33" t="s">
        <v>177</v>
      </c>
      <c r="E5" s="33" t="s">
        <v>178</v>
      </c>
      <c r="F5" s="33" t="s">
        <v>430</v>
      </c>
      <c r="G5" s="33" t="s">
        <v>180</v>
      </c>
      <c r="H5" s="33" t="s">
        <v>181</v>
      </c>
      <c r="I5" s="33" t="s">
        <v>182</v>
      </c>
      <c r="J5" s="33" t="s">
        <v>431</v>
      </c>
      <c r="K5" s="33" t="s">
        <v>432</v>
      </c>
      <c r="L5" s="33" t="s">
        <v>392</v>
      </c>
    </row>
    <row r="6" customFormat="false" ht="15" hidden="false" customHeight="false" outlineLevel="0" collapsed="false">
      <c r="A6" s="58" t="s">
        <v>113</v>
      </c>
      <c r="B6" s="26" t="n">
        <v>4</v>
      </c>
      <c r="C6" s="26" t="n">
        <v>1</v>
      </c>
      <c r="D6" s="26" t="n">
        <v>1</v>
      </c>
      <c r="E6" s="26" t="n">
        <v>2</v>
      </c>
      <c r="F6" s="26" t="n">
        <v>0</v>
      </c>
      <c r="G6" s="26" t="n">
        <v>1</v>
      </c>
      <c r="H6" s="26" t="n">
        <v>0</v>
      </c>
      <c r="I6" s="26" t="n">
        <v>1</v>
      </c>
      <c r="J6" s="26" t="n">
        <v>0</v>
      </c>
      <c r="K6" s="26" t="n">
        <v>1</v>
      </c>
      <c r="L6" s="26" t="n">
        <f aca="false">SUM(B6:K6)</f>
        <v>11</v>
      </c>
    </row>
    <row r="7" customFormat="false" ht="15" hidden="false" customHeight="false" outlineLevel="0" collapsed="false">
      <c r="A7" s="41" t="s">
        <v>114</v>
      </c>
      <c r="B7" s="29" t="n">
        <v>5</v>
      </c>
      <c r="C7" s="29" t="n">
        <v>1</v>
      </c>
      <c r="D7" s="29" t="n">
        <v>1</v>
      </c>
      <c r="E7" s="29" t="n">
        <v>2</v>
      </c>
      <c r="F7" s="29" t="n">
        <v>0</v>
      </c>
      <c r="G7" s="29" t="n">
        <v>1</v>
      </c>
      <c r="H7" s="29" t="n">
        <v>0</v>
      </c>
      <c r="I7" s="29" t="n">
        <v>1</v>
      </c>
      <c r="J7" s="29" t="n">
        <v>0</v>
      </c>
      <c r="K7" s="29" t="n">
        <v>1</v>
      </c>
      <c r="L7" s="29" t="n">
        <f aca="false">SUM(B7:K7)</f>
        <v>12</v>
      </c>
    </row>
    <row r="8" customFormat="false" ht="15" hidden="false" customHeight="false" outlineLevel="0" collapsed="false">
      <c r="A8" s="58" t="s">
        <v>115</v>
      </c>
      <c r="B8" s="26" t="n">
        <v>5</v>
      </c>
      <c r="C8" s="26" t="n">
        <v>2</v>
      </c>
      <c r="D8" s="26" t="n">
        <v>1</v>
      </c>
      <c r="E8" s="26" t="n">
        <v>2</v>
      </c>
      <c r="F8" s="26" t="n">
        <v>1</v>
      </c>
      <c r="G8" s="26" t="n">
        <v>1</v>
      </c>
      <c r="H8" s="26" t="n">
        <v>1</v>
      </c>
      <c r="I8" s="26" t="n">
        <v>2</v>
      </c>
      <c r="J8" s="26" t="n">
        <v>0</v>
      </c>
      <c r="K8" s="26" t="n">
        <v>1</v>
      </c>
      <c r="L8" s="26" t="n">
        <f aca="false">SUM(B8:K8)</f>
        <v>16</v>
      </c>
    </row>
    <row r="9" customFormat="false" ht="15" hidden="false" customHeight="false" outlineLevel="0" collapsed="false">
      <c r="A9" s="41" t="s">
        <v>116</v>
      </c>
      <c r="B9" s="29" t="n">
        <v>6</v>
      </c>
      <c r="C9" s="29" t="n">
        <v>2</v>
      </c>
      <c r="D9" s="29" t="n">
        <v>2</v>
      </c>
      <c r="E9" s="29" t="n">
        <v>3</v>
      </c>
      <c r="F9" s="29" t="n">
        <v>1</v>
      </c>
      <c r="G9" s="29" t="n">
        <v>2</v>
      </c>
      <c r="H9" s="29" t="n">
        <v>1</v>
      </c>
      <c r="I9" s="29" t="n">
        <v>2</v>
      </c>
      <c r="J9" s="29" t="n">
        <v>1</v>
      </c>
      <c r="K9" s="29" t="n">
        <v>2</v>
      </c>
      <c r="L9" s="29" t="n">
        <f aca="false">SUM(B9:K9)</f>
        <v>22</v>
      </c>
    </row>
    <row r="10" customFormat="false" ht="15" hidden="false" customHeight="false" outlineLevel="0" collapsed="false">
      <c r="A10" s="58" t="s">
        <v>117</v>
      </c>
      <c r="B10" s="26" t="n">
        <v>6</v>
      </c>
      <c r="C10" s="26" t="n">
        <v>3</v>
      </c>
      <c r="D10" s="26" t="n">
        <v>2</v>
      </c>
      <c r="E10" s="26" t="n">
        <v>3</v>
      </c>
      <c r="F10" s="26" t="n">
        <v>2</v>
      </c>
      <c r="G10" s="26" t="n">
        <v>2</v>
      </c>
      <c r="H10" s="26" t="n">
        <v>2</v>
      </c>
      <c r="I10" s="26" t="n">
        <v>3</v>
      </c>
      <c r="J10" s="26" t="n">
        <v>1</v>
      </c>
      <c r="K10" s="26" t="n">
        <v>2</v>
      </c>
      <c r="L10" s="26" t="n">
        <f aca="false">SUM(B10:K10)</f>
        <v>26</v>
      </c>
    </row>
    <row r="11" customFormat="false" ht="15" hidden="false" customHeight="false" outlineLevel="0" collapsed="false">
      <c r="A11" s="41" t="s">
        <v>118</v>
      </c>
      <c r="B11" s="29" t="n">
        <v>7</v>
      </c>
      <c r="C11" s="29" t="n">
        <v>3</v>
      </c>
      <c r="D11" s="29" t="n">
        <v>2</v>
      </c>
      <c r="E11" s="29" t="n">
        <v>3</v>
      </c>
      <c r="F11" s="29" t="n">
        <v>2</v>
      </c>
      <c r="G11" s="29" t="n">
        <v>2</v>
      </c>
      <c r="H11" s="29" t="n">
        <v>2</v>
      </c>
      <c r="I11" s="29" t="n">
        <v>3</v>
      </c>
      <c r="J11" s="29" t="n">
        <v>1</v>
      </c>
      <c r="K11" s="29" t="n">
        <v>2</v>
      </c>
      <c r="L11" s="29" t="n">
        <f aca="false">SUM(B11:K11)</f>
        <v>27</v>
      </c>
    </row>
    <row r="12" customFormat="false" ht="15" hidden="false" customHeight="false" outlineLevel="0" collapsed="false">
      <c r="A12" s="58" t="s">
        <v>119</v>
      </c>
      <c r="B12" s="26" t="n">
        <v>8</v>
      </c>
      <c r="C12" s="26" t="n">
        <v>4</v>
      </c>
      <c r="D12" s="26" t="n">
        <v>3</v>
      </c>
      <c r="E12" s="26" t="n">
        <v>4</v>
      </c>
      <c r="F12" s="26" t="n">
        <v>2</v>
      </c>
      <c r="G12" s="26" t="n">
        <v>2</v>
      </c>
      <c r="H12" s="26" t="n">
        <v>3</v>
      </c>
      <c r="I12" s="26" t="n">
        <v>4</v>
      </c>
      <c r="J12" s="26" t="n">
        <v>1</v>
      </c>
      <c r="K12" s="26" t="n">
        <v>2</v>
      </c>
      <c r="L12" s="26" t="n">
        <f aca="false">SUM(B12:K12)</f>
        <v>33</v>
      </c>
    </row>
    <row r="13" customFormat="false" ht="15" hidden="false" customHeight="false" outlineLevel="0" collapsed="false">
      <c r="A13" s="41" t="s">
        <v>120</v>
      </c>
      <c r="B13" s="29" t="n">
        <v>9</v>
      </c>
      <c r="C13" s="29" t="n">
        <v>4</v>
      </c>
      <c r="D13" s="29" t="n">
        <v>3</v>
      </c>
      <c r="E13" s="29" t="n">
        <v>4</v>
      </c>
      <c r="F13" s="29" t="n">
        <v>3</v>
      </c>
      <c r="G13" s="29" t="n">
        <v>3</v>
      </c>
      <c r="H13" s="29" t="n">
        <v>3</v>
      </c>
      <c r="I13" s="29" t="n">
        <v>5</v>
      </c>
      <c r="J13" s="29" t="n">
        <v>1</v>
      </c>
      <c r="K13" s="29" t="n">
        <v>3</v>
      </c>
      <c r="L13" s="29" t="n">
        <f aca="false">SUM(B13:K13)</f>
        <v>38</v>
      </c>
    </row>
    <row r="14" customFormat="false" ht="15" hidden="false" customHeight="false" outlineLevel="0" collapsed="false">
      <c r="A14" s="58" t="s">
        <v>121</v>
      </c>
      <c r="B14" s="26" t="n">
        <v>10</v>
      </c>
      <c r="C14" s="26" t="n">
        <v>4</v>
      </c>
      <c r="D14" s="26" t="n">
        <v>4</v>
      </c>
      <c r="E14" s="26" t="n">
        <v>4</v>
      </c>
      <c r="F14" s="26" t="n">
        <v>3</v>
      </c>
      <c r="G14" s="26" t="n">
        <v>3</v>
      </c>
      <c r="H14" s="26" t="n">
        <v>4</v>
      </c>
      <c r="I14" s="26" t="n">
        <v>6</v>
      </c>
      <c r="J14" s="26" t="n">
        <v>2</v>
      </c>
      <c r="K14" s="26" t="n">
        <v>4</v>
      </c>
      <c r="L14" s="26" t="n">
        <f aca="false">SUM(B14:K14)</f>
        <v>44</v>
      </c>
    </row>
    <row r="15" customFormat="false" ht="15" hidden="false" customHeight="false" outlineLevel="0" collapsed="false">
      <c r="A15" s="41" t="s">
        <v>122</v>
      </c>
      <c r="B15" s="29" t="n">
        <v>10</v>
      </c>
      <c r="C15" s="29" t="n">
        <v>5</v>
      </c>
      <c r="D15" s="29" t="n">
        <v>5</v>
      </c>
      <c r="E15" s="29" t="n">
        <v>5</v>
      </c>
      <c r="F15" s="29" t="n">
        <v>3</v>
      </c>
      <c r="G15" s="29" t="n">
        <v>3</v>
      </c>
      <c r="H15" s="29" t="n">
        <v>5</v>
      </c>
      <c r="I15" s="29" t="n">
        <v>6</v>
      </c>
      <c r="J15" s="29" t="n">
        <v>2</v>
      </c>
      <c r="K15" s="29" t="n">
        <v>4</v>
      </c>
      <c r="L15" s="29" t="n">
        <f aca="false">SUM(B15:K15)</f>
        <v>48</v>
      </c>
    </row>
    <row r="16" customFormat="false" ht="15" hidden="false" customHeight="false" outlineLevel="0" collapsed="false">
      <c r="A16" s="58" t="s">
        <v>123</v>
      </c>
      <c r="B16" s="26" t="n">
        <v>11</v>
      </c>
      <c r="C16" s="26" t="n">
        <v>6</v>
      </c>
      <c r="D16" s="26" t="n">
        <v>5</v>
      </c>
      <c r="E16" s="26" t="n">
        <v>6</v>
      </c>
      <c r="F16" s="26" t="n">
        <v>4</v>
      </c>
      <c r="G16" s="26" t="n">
        <v>4</v>
      </c>
      <c r="H16" s="26" t="n">
        <v>5</v>
      </c>
      <c r="I16" s="26" t="n">
        <v>7</v>
      </c>
      <c r="J16" s="26" t="n">
        <v>2</v>
      </c>
      <c r="K16" s="26" t="n">
        <v>4</v>
      </c>
      <c r="L16" s="26" t="n">
        <f aca="false">SUM(B16:K16)</f>
        <v>54</v>
      </c>
    </row>
    <row r="17" customFormat="false" ht="15" hidden="false" customHeight="false" outlineLevel="0" collapsed="false">
      <c r="A17" s="41" t="s">
        <v>124</v>
      </c>
      <c r="B17" s="29" t="n">
        <v>12</v>
      </c>
      <c r="C17" s="29" t="n">
        <v>6</v>
      </c>
      <c r="D17" s="29" t="n">
        <v>6</v>
      </c>
      <c r="E17" s="29" t="n">
        <v>6</v>
      </c>
      <c r="F17" s="29" t="n">
        <v>4</v>
      </c>
      <c r="G17" s="29" t="n">
        <v>4</v>
      </c>
      <c r="H17" s="29" t="n">
        <v>6</v>
      </c>
      <c r="I17" s="29" t="n">
        <v>8</v>
      </c>
      <c r="J17" s="29" t="n">
        <v>2</v>
      </c>
      <c r="K17" s="29" t="n">
        <v>5</v>
      </c>
      <c r="L17" s="29" t="n">
        <f aca="false">SUM(B17:K17)</f>
        <v>59</v>
      </c>
    </row>
    <row r="18" customFormat="false" ht="15" hidden="false" customHeight="false" outlineLevel="0" collapsed="false">
      <c r="A18" s="58" t="s">
        <v>125</v>
      </c>
      <c r="B18" s="26" t="n">
        <v>13</v>
      </c>
      <c r="C18" s="26" t="n">
        <v>6</v>
      </c>
      <c r="D18" s="26" t="n">
        <v>7</v>
      </c>
      <c r="E18" s="26" t="n">
        <v>6</v>
      </c>
      <c r="F18" s="26" t="n">
        <v>4</v>
      </c>
      <c r="G18" s="26" t="n">
        <v>4</v>
      </c>
      <c r="H18" s="26" t="n">
        <v>7</v>
      </c>
      <c r="I18" s="26" t="n">
        <v>9</v>
      </c>
      <c r="J18" s="26" t="n">
        <v>2</v>
      </c>
      <c r="K18" s="26" t="n">
        <v>6</v>
      </c>
      <c r="L18" s="26" t="n">
        <f aca="false">SUM(B18:K18)</f>
        <v>64</v>
      </c>
    </row>
    <row r="19" customFormat="false" ht="15" hidden="false" customHeight="false" outlineLevel="0" collapsed="false">
      <c r="A19" s="41" t="s">
        <v>126</v>
      </c>
      <c r="B19" s="29" t="n">
        <v>14</v>
      </c>
      <c r="C19" s="29" t="n">
        <v>7</v>
      </c>
      <c r="D19" s="29" t="n">
        <v>8</v>
      </c>
      <c r="E19" s="29" t="n">
        <v>7</v>
      </c>
      <c r="F19" s="29" t="n">
        <v>5</v>
      </c>
      <c r="G19" s="29" t="n">
        <v>5</v>
      </c>
      <c r="H19" s="29" t="n">
        <v>8</v>
      </c>
      <c r="I19" s="29" t="n">
        <v>10</v>
      </c>
      <c r="J19" s="29" t="n">
        <v>3</v>
      </c>
      <c r="K19" s="29" t="n">
        <v>6</v>
      </c>
      <c r="L19" s="29" t="n">
        <f aca="false">SUM(B19:K19)</f>
        <v>73</v>
      </c>
    </row>
    <row r="20" customFormat="false" ht="15" hidden="false" customHeight="false" outlineLevel="0" collapsed="false">
      <c r="A20" s="58" t="s">
        <v>127</v>
      </c>
      <c r="B20" s="26" t="n">
        <v>14</v>
      </c>
      <c r="C20" s="26" t="n">
        <v>8</v>
      </c>
      <c r="D20" s="26" t="n">
        <v>8</v>
      </c>
      <c r="E20" s="26" t="n">
        <v>8</v>
      </c>
      <c r="F20" s="26" t="n">
        <v>5</v>
      </c>
      <c r="G20" s="26" t="n">
        <v>5</v>
      </c>
      <c r="H20" s="26" t="n">
        <v>8</v>
      </c>
      <c r="I20" s="26" t="n">
        <v>11</v>
      </c>
      <c r="J20" s="26" t="n">
        <v>3</v>
      </c>
      <c r="K20" s="26" t="n">
        <v>6</v>
      </c>
      <c r="L20" s="26" t="n">
        <f aca="false">SUM(B20:K20)</f>
        <v>76</v>
      </c>
    </row>
    <row r="21" customFormat="false" ht="15" hidden="false" customHeight="false" outlineLevel="0" collapsed="false">
      <c r="A21" s="41" t="s">
        <v>128</v>
      </c>
      <c r="B21" s="29" t="n">
        <v>15</v>
      </c>
      <c r="C21" s="29" t="n">
        <v>8</v>
      </c>
      <c r="D21" s="29" t="n">
        <v>9</v>
      </c>
      <c r="E21" s="29" t="n">
        <v>8</v>
      </c>
      <c r="F21" s="29" t="n">
        <v>5</v>
      </c>
      <c r="G21" s="29" t="n">
        <v>5</v>
      </c>
      <c r="H21" s="29" t="n">
        <v>9</v>
      </c>
      <c r="I21" s="29" t="n">
        <v>12</v>
      </c>
      <c r="J21" s="29" t="n">
        <v>3</v>
      </c>
      <c r="K21" s="29" t="n">
        <v>7</v>
      </c>
      <c r="L21" s="29" t="n">
        <f aca="false">SUM(B21:K21)</f>
        <v>81</v>
      </c>
    </row>
    <row r="22" customFormat="false" ht="15" hidden="false" customHeight="false" outlineLevel="0" collapsed="false">
      <c r="A22" s="58" t="s">
        <v>129</v>
      </c>
      <c r="B22" s="26" t="n">
        <v>16</v>
      </c>
      <c r="C22" s="26" t="n">
        <v>8</v>
      </c>
      <c r="D22" s="26" t="n">
        <v>10</v>
      </c>
      <c r="E22" s="26" t="n">
        <v>8</v>
      </c>
      <c r="F22" s="26" t="n">
        <v>6</v>
      </c>
      <c r="G22" s="26" t="n">
        <v>6</v>
      </c>
      <c r="H22" s="26" t="n">
        <v>10</v>
      </c>
      <c r="I22" s="26" t="n">
        <v>13</v>
      </c>
      <c r="J22" s="26" t="n">
        <v>4</v>
      </c>
      <c r="K22" s="26" t="n">
        <v>8</v>
      </c>
      <c r="L22" s="26" t="n">
        <f aca="false">SUM(B22:K22)</f>
        <v>89</v>
      </c>
    </row>
    <row r="23" customFormat="false" ht="15" hidden="false" customHeight="false" outlineLevel="0" collapsed="false">
      <c r="A23" s="41" t="s">
        <v>130</v>
      </c>
      <c r="B23" s="29" t="n">
        <v>17</v>
      </c>
      <c r="C23" s="29" t="n">
        <v>9</v>
      </c>
      <c r="D23" s="29" t="n">
        <v>11</v>
      </c>
      <c r="E23" s="29" t="n">
        <v>9</v>
      </c>
      <c r="F23" s="29" t="n">
        <v>6</v>
      </c>
      <c r="G23" s="29" t="n">
        <v>6</v>
      </c>
      <c r="H23" s="29" t="n">
        <v>11</v>
      </c>
      <c r="I23" s="29" t="n">
        <v>14</v>
      </c>
      <c r="J23" s="29" t="n">
        <v>4</v>
      </c>
      <c r="K23" s="29" t="n">
        <v>8</v>
      </c>
      <c r="L23" s="29" t="n">
        <f aca="false">SUM(B23:K23)</f>
        <v>95</v>
      </c>
    </row>
    <row r="24" customFormat="false" ht="15" hidden="false" customHeight="false" outlineLevel="0" collapsed="false">
      <c r="A24" s="58" t="s">
        <v>131</v>
      </c>
      <c r="B24" s="26" t="n">
        <v>18</v>
      </c>
      <c r="C24" s="26" t="n">
        <v>10</v>
      </c>
      <c r="D24" s="26" t="n">
        <v>12</v>
      </c>
      <c r="E24" s="26" t="n">
        <v>10</v>
      </c>
      <c r="F24" s="26" t="n">
        <v>6</v>
      </c>
      <c r="G24" s="26" t="n">
        <v>6</v>
      </c>
      <c r="H24" s="26" t="n">
        <v>12</v>
      </c>
      <c r="I24" s="26" t="n">
        <v>15</v>
      </c>
      <c r="J24" s="26" t="n">
        <v>4</v>
      </c>
      <c r="K24" s="26" t="n">
        <v>8</v>
      </c>
      <c r="L24" s="26" t="n">
        <f aca="false">SUM(B24:K24)</f>
        <v>101</v>
      </c>
    </row>
    <row r="25" customFormat="false" ht="15" hidden="false" customHeight="false" outlineLevel="0" collapsed="false">
      <c r="A25" s="41" t="s">
        <v>132</v>
      </c>
      <c r="B25" s="29" t="n">
        <v>18</v>
      </c>
      <c r="C25" s="29" t="n">
        <v>10</v>
      </c>
      <c r="D25" s="29" t="n">
        <v>13</v>
      </c>
      <c r="E25" s="29" t="n">
        <v>10</v>
      </c>
      <c r="F25" s="29" t="n">
        <v>7</v>
      </c>
      <c r="G25" s="29" t="n">
        <v>7</v>
      </c>
      <c r="H25" s="29" t="n">
        <v>13</v>
      </c>
      <c r="I25" s="29" t="n">
        <v>16</v>
      </c>
      <c r="J25" s="29" t="n">
        <v>4</v>
      </c>
      <c r="K25" s="29" t="n">
        <v>9</v>
      </c>
      <c r="L25" s="29" t="n">
        <f aca="false">SUM(B25:K25)</f>
        <v>107</v>
      </c>
    </row>
    <row r="26" customFormat="false" ht="15" hidden="false" customHeight="false" outlineLevel="0" collapsed="false">
      <c r="A26" s="58" t="s">
        <v>133</v>
      </c>
      <c r="B26" s="26" t="n">
        <v>19</v>
      </c>
      <c r="C26" s="26" t="n">
        <v>10</v>
      </c>
      <c r="D26" s="26" t="n">
        <v>14</v>
      </c>
      <c r="E26" s="26" t="n">
        <v>10</v>
      </c>
      <c r="F26" s="26" t="n">
        <v>7</v>
      </c>
      <c r="G26" s="26" t="n">
        <v>7</v>
      </c>
      <c r="H26" s="26" t="n">
        <v>14</v>
      </c>
      <c r="I26" s="26" t="n">
        <v>18</v>
      </c>
      <c r="J26" s="26" t="n">
        <v>5</v>
      </c>
      <c r="K26" s="26" t="n">
        <v>10</v>
      </c>
      <c r="L26" s="26" t="n">
        <f aca="false">SUM(B26:K26)</f>
        <v>114</v>
      </c>
    </row>
    <row r="27" customFormat="false" ht="15" hidden="false" customHeight="false" outlineLevel="0" collapsed="false">
      <c r="A27" s="41" t="s">
        <v>134</v>
      </c>
      <c r="B27" s="29" t="n">
        <v>20</v>
      </c>
      <c r="C27" s="29" t="n">
        <v>11</v>
      </c>
      <c r="D27" s="29" t="n">
        <v>15</v>
      </c>
      <c r="E27" s="29" t="n">
        <v>11</v>
      </c>
      <c r="F27" s="29" t="n">
        <v>8</v>
      </c>
      <c r="G27" s="29" t="n">
        <v>7</v>
      </c>
      <c r="H27" s="29" t="n">
        <v>15</v>
      </c>
      <c r="I27" s="29" t="n">
        <v>19</v>
      </c>
      <c r="J27" s="29" t="n">
        <v>5</v>
      </c>
      <c r="K27" s="29" t="n">
        <v>10</v>
      </c>
      <c r="L27" s="29" t="n">
        <f aca="false">SUM(B27:K27)</f>
        <v>121</v>
      </c>
    </row>
    <row r="28" customFormat="false" ht="15" hidden="false" customHeight="false" outlineLevel="0" collapsed="false">
      <c r="A28" s="58" t="s">
        <v>135</v>
      </c>
      <c r="B28" s="26" t="n">
        <v>20</v>
      </c>
      <c r="C28" s="26" t="n">
        <v>12</v>
      </c>
      <c r="D28" s="26" t="n">
        <v>16</v>
      </c>
      <c r="E28" s="26" t="n">
        <v>12</v>
      </c>
      <c r="F28" s="26" t="n">
        <v>8</v>
      </c>
      <c r="G28" s="26" t="n">
        <v>8</v>
      </c>
      <c r="H28" s="26" t="n">
        <v>16</v>
      </c>
      <c r="I28" s="26" t="n">
        <v>20</v>
      </c>
      <c r="J28" s="26" t="n">
        <v>5</v>
      </c>
      <c r="K28" s="26" t="n">
        <v>10</v>
      </c>
      <c r="L28" s="26" t="n">
        <f aca="false">SUM(B28:K28)</f>
        <v>127</v>
      </c>
    </row>
    <row r="29" customFormat="false" ht="15" hidden="false" customHeight="false" outlineLevel="0" collapsed="false">
      <c r="A29" s="41" t="s">
        <v>136</v>
      </c>
      <c r="B29" s="29" t="n">
        <v>21</v>
      </c>
      <c r="C29" s="29" t="n">
        <v>12</v>
      </c>
      <c r="D29" s="29" t="n">
        <v>17</v>
      </c>
      <c r="E29" s="29" t="n">
        <v>12</v>
      </c>
      <c r="F29" s="29" t="n">
        <v>8</v>
      </c>
      <c r="G29" s="29" t="n">
        <v>8</v>
      </c>
      <c r="H29" s="29" t="n">
        <v>16</v>
      </c>
      <c r="I29" s="29" t="n">
        <v>21</v>
      </c>
      <c r="J29" s="29" t="n">
        <v>6</v>
      </c>
      <c r="K29" s="29" t="n">
        <v>11</v>
      </c>
      <c r="L29" s="29" t="n">
        <f aca="false">SUM(B29:K29)</f>
        <v>132</v>
      </c>
    </row>
    <row r="30" customFormat="false" ht="15" hidden="false" customHeight="false" outlineLevel="0" collapsed="false">
      <c r="A30" s="58" t="s">
        <v>137</v>
      </c>
      <c r="B30" s="26" t="n">
        <v>22</v>
      </c>
      <c r="C30" s="26" t="n">
        <v>12</v>
      </c>
      <c r="D30" s="26" t="n">
        <v>18</v>
      </c>
      <c r="E30" s="26" t="n">
        <v>12</v>
      </c>
      <c r="F30" s="26" t="n">
        <v>9</v>
      </c>
      <c r="G30" s="26" t="n">
        <v>8</v>
      </c>
      <c r="H30" s="26" t="n">
        <v>17</v>
      </c>
      <c r="I30" s="26" t="n">
        <v>22</v>
      </c>
      <c r="J30" s="26" t="n">
        <v>6</v>
      </c>
      <c r="K30" s="26" t="n">
        <v>12</v>
      </c>
      <c r="L30" s="26" t="n">
        <f aca="false">SUM(B30:K30)</f>
        <v>138</v>
      </c>
    </row>
    <row r="31" customFormat="false" ht="15" hidden="false" customHeight="false" outlineLevel="0" collapsed="false">
      <c r="A31" s="41" t="s">
        <v>138</v>
      </c>
      <c r="B31" s="29" t="n">
        <v>22</v>
      </c>
      <c r="C31" s="29" t="n">
        <v>13</v>
      </c>
      <c r="D31" s="29" t="n">
        <v>19</v>
      </c>
      <c r="E31" s="29" t="n">
        <v>13</v>
      </c>
      <c r="F31" s="29" t="n">
        <v>9</v>
      </c>
      <c r="G31" s="29" t="n">
        <v>9</v>
      </c>
      <c r="H31" s="29" t="n">
        <v>18</v>
      </c>
      <c r="I31" s="29" t="n">
        <v>23</v>
      </c>
      <c r="J31" s="29" t="n">
        <v>6</v>
      </c>
      <c r="K31" s="29" t="n">
        <v>12</v>
      </c>
      <c r="L31" s="29" t="n">
        <f aca="false">SUM(B31:K31)</f>
        <v>144</v>
      </c>
    </row>
    <row r="32" customFormat="false" ht="15" hidden="false" customHeight="false" outlineLevel="0" collapsed="false">
      <c r="A32" s="58" t="s">
        <v>139</v>
      </c>
      <c r="B32" s="26" t="n">
        <v>23</v>
      </c>
      <c r="C32" s="26" t="n">
        <v>14</v>
      </c>
      <c r="D32" s="26" t="n">
        <v>20</v>
      </c>
      <c r="E32" s="26" t="n">
        <v>14</v>
      </c>
      <c r="F32" s="26" t="n">
        <v>10</v>
      </c>
      <c r="G32" s="26" t="n">
        <v>9</v>
      </c>
      <c r="H32" s="26" t="n">
        <v>19</v>
      </c>
      <c r="I32" s="26" t="n">
        <v>24</v>
      </c>
      <c r="J32" s="26" t="n">
        <v>6</v>
      </c>
      <c r="K32" s="26" t="n">
        <v>12</v>
      </c>
      <c r="L32" s="26" t="n">
        <f aca="false">SUM(B32:K32)</f>
        <v>151</v>
      </c>
    </row>
    <row r="33" customFormat="false" ht="15" hidden="false" customHeight="false" outlineLevel="0" collapsed="false">
      <c r="A33" s="41" t="s">
        <v>140</v>
      </c>
      <c r="B33" s="29" t="n">
        <v>24</v>
      </c>
      <c r="C33" s="29" t="n">
        <v>14</v>
      </c>
      <c r="D33" s="29" t="n">
        <v>21</v>
      </c>
      <c r="E33" s="29" t="n">
        <v>14</v>
      </c>
      <c r="F33" s="29" t="n">
        <v>10</v>
      </c>
      <c r="G33" s="29" t="n">
        <v>9</v>
      </c>
      <c r="H33" s="29" t="n">
        <v>20</v>
      </c>
      <c r="I33" s="29" t="n">
        <v>26</v>
      </c>
      <c r="J33" s="29" t="n">
        <v>6</v>
      </c>
      <c r="K33" s="29" t="n">
        <v>13</v>
      </c>
      <c r="L33" s="29" t="n">
        <f aca="false">SUM(B33:K33)</f>
        <v>157</v>
      </c>
    </row>
    <row r="34" customFormat="false" ht="15" hidden="false" customHeight="false" outlineLevel="0" collapsed="false">
      <c r="A34" s="58" t="s">
        <v>141</v>
      </c>
      <c r="B34" s="26" t="n">
        <v>24</v>
      </c>
      <c r="C34" s="26" t="n">
        <v>14</v>
      </c>
      <c r="D34" s="26" t="n">
        <v>22</v>
      </c>
      <c r="E34" s="26" t="n">
        <v>14</v>
      </c>
      <c r="F34" s="26" t="n">
        <v>11</v>
      </c>
      <c r="G34" s="26" t="n">
        <v>10</v>
      </c>
      <c r="H34" s="26" t="n">
        <v>21</v>
      </c>
      <c r="I34" s="26" t="n">
        <v>27</v>
      </c>
      <c r="J34" s="26" t="n">
        <v>7</v>
      </c>
      <c r="K34" s="26" t="n">
        <v>14</v>
      </c>
      <c r="L34" s="26" t="n">
        <f aca="false">SUM(B34:K34)</f>
        <v>164</v>
      </c>
    </row>
    <row r="35" customFormat="false" ht="15" hidden="false" customHeight="false" outlineLevel="0" collapsed="false">
      <c r="A35" s="41" t="s">
        <v>142</v>
      </c>
      <c r="B35" s="29" t="n">
        <v>25</v>
      </c>
      <c r="C35" s="29" t="n">
        <v>15</v>
      </c>
      <c r="D35" s="29" t="n">
        <v>23</v>
      </c>
      <c r="E35" s="29" t="n">
        <v>15</v>
      </c>
      <c r="F35" s="29" t="n">
        <v>11</v>
      </c>
      <c r="G35" s="29" t="n">
        <v>10</v>
      </c>
      <c r="H35" s="29" t="n">
        <v>22</v>
      </c>
      <c r="I35" s="29" t="n">
        <v>28</v>
      </c>
      <c r="J35" s="29" t="n">
        <v>7</v>
      </c>
      <c r="K35" s="29" t="n">
        <v>14</v>
      </c>
      <c r="L35" s="29" t="n">
        <f aca="false">SUM(B35:K35)</f>
        <v>170</v>
      </c>
    </row>
    <row r="36" customFormat="false" ht="15" hidden="false" customHeight="false" outlineLevel="0" collapsed="false">
      <c r="A36" s="58" t="s">
        <v>143</v>
      </c>
      <c r="B36" s="26" t="n">
        <v>26</v>
      </c>
      <c r="C36" s="26" t="n">
        <v>16</v>
      </c>
      <c r="D36" s="26" t="n">
        <v>24</v>
      </c>
      <c r="E36" s="26" t="n">
        <v>16</v>
      </c>
      <c r="F36" s="26" t="n">
        <v>11</v>
      </c>
      <c r="G36" s="26" t="n">
        <v>10</v>
      </c>
      <c r="H36" s="26" t="n">
        <v>23</v>
      </c>
      <c r="I36" s="26" t="n">
        <v>29</v>
      </c>
      <c r="J36" s="26" t="n">
        <v>7</v>
      </c>
      <c r="K36" s="26" t="n">
        <v>14</v>
      </c>
      <c r="L36" s="26" t="n">
        <f aca="false">SUM(B36:K36)</f>
        <v>176</v>
      </c>
    </row>
    <row r="37" customFormat="false" ht="15" hidden="false" customHeight="false" outlineLevel="0" collapsed="false">
      <c r="A37" s="41" t="s">
        <v>144</v>
      </c>
      <c r="B37" s="29" t="n">
        <v>26</v>
      </c>
      <c r="C37" s="29" t="n">
        <v>16</v>
      </c>
      <c r="D37" s="29" t="n">
        <v>25</v>
      </c>
      <c r="E37" s="29" t="n">
        <v>16</v>
      </c>
      <c r="F37" s="29" t="n">
        <v>12</v>
      </c>
      <c r="G37" s="29" t="n">
        <v>10</v>
      </c>
      <c r="H37" s="29" t="n">
        <v>24</v>
      </c>
      <c r="I37" s="29" t="n">
        <v>30</v>
      </c>
      <c r="J37" s="29" t="n">
        <v>8</v>
      </c>
      <c r="K37" s="29" t="n">
        <v>15</v>
      </c>
      <c r="L37" s="29" t="n">
        <f aca="false">SUM(B37:K37)</f>
        <v>182</v>
      </c>
    </row>
    <row r="38" customFormat="false" ht="15" hidden="false" customHeight="false" outlineLevel="0" collapsed="false">
      <c r="A38" s="58" t="s">
        <v>145</v>
      </c>
      <c r="B38" s="26" t="n">
        <v>27</v>
      </c>
      <c r="C38" s="26" t="n">
        <v>16</v>
      </c>
      <c r="D38" s="26" t="n">
        <v>26</v>
      </c>
      <c r="E38" s="26" t="n">
        <v>16</v>
      </c>
      <c r="F38" s="26" t="n">
        <v>12</v>
      </c>
      <c r="G38" s="26" t="n">
        <v>11</v>
      </c>
      <c r="H38" s="26" t="n">
        <v>24</v>
      </c>
      <c r="I38" s="26" t="n">
        <v>32</v>
      </c>
      <c r="J38" s="26" t="n">
        <v>8</v>
      </c>
      <c r="K38" s="26" t="n">
        <v>15</v>
      </c>
      <c r="L38" s="26" t="n">
        <f aca="false">SUM(B38:K38)</f>
        <v>187</v>
      </c>
    </row>
    <row r="39" customFormat="false" ht="15" hidden="false" customHeight="false" outlineLevel="0" collapsed="false">
      <c r="A39" s="41" t="s">
        <v>146</v>
      </c>
      <c r="B39" s="29" t="n">
        <v>27</v>
      </c>
      <c r="C39" s="29" t="n">
        <v>17</v>
      </c>
      <c r="D39" s="29" t="n">
        <v>28</v>
      </c>
      <c r="E39" s="29" t="n">
        <v>17</v>
      </c>
      <c r="F39" s="29" t="n">
        <v>13</v>
      </c>
      <c r="G39" s="29" t="n">
        <v>11</v>
      </c>
      <c r="H39" s="29" t="n">
        <v>25</v>
      </c>
      <c r="I39" s="29" t="n">
        <v>33</v>
      </c>
      <c r="J39" s="29" t="n">
        <v>8</v>
      </c>
      <c r="K39" s="29" t="n">
        <v>16</v>
      </c>
      <c r="L39" s="29" t="n">
        <f aca="false">SUM(B39:K39)</f>
        <v>195</v>
      </c>
    </row>
    <row r="40" customFormat="false" ht="15" hidden="false" customHeight="false" outlineLevel="0" collapsed="false">
      <c r="A40" s="58" t="s">
        <v>147</v>
      </c>
      <c r="B40" s="26" t="n">
        <v>28</v>
      </c>
      <c r="C40" s="26" t="n">
        <v>18</v>
      </c>
      <c r="D40" s="26" t="n">
        <v>29</v>
      </c>
      <c r="E40" s="26" t="n">
        <v>18</v>
      </c>
      <c r="F40" s="26" t="n">
        <v>13</v>
      </c>
      <c r="G40" s="26" t="n">
        <v>11</v>
      </c>
      <c r="H40" s="26" t="n">
        <v>26</v>
      </c>
      <c r="I40" s="26" t="n">
        <v>34</v>
      </c>
      <c r="J40" s="26" t="n">
        <v>8</v>
      </c>
      <c r="K40" s="26" t="n">
        <v>16</v>
      </c>
      <c r="L40" s="26" t="n">
        <f aca="false">SUM(B40:K40)</f>
        <v>201</v>
      </c>
    </row>
    <row r="41" customFormat="false" ht="15" hidden="false" customHeight="false" outlineLevel="0" collapsed="false">
      <c r="A41" s="41" t="s">
        <v>148</v>
      </c>
      <c r="B41" s="29" t="n">
        <v>28</v>
      </c>
      <c r="C41" s="29" t="n">
        <v>18</v>
      </c>
      <c r="D41" s="29" t="n">
        <v>30</v>
      </c>
      <c r="E41" s="29" t="n">
        <v>18</v>
      </c>
      <c r="F41" s="29" t="n">
        <v>14</v>
      </c>
      <c r="G41" s="29" t="n">
        <v>12</v>
      </c>
      <c r="H41" s="29" t="n">
        <v>27</v>
      </c>
      <c r="I41" s="29" t="n">
        <v>35</v>
      </c>
      <c r="J41" s="29" t="n">
        <v>8</v>
      </c>
      <c r="K41" s="29" t="n">
        <v>16</v>
      </c>
      <c r="L41" s="29" t="n">
        <f aca="false">SUM(B41:K41)</f>
        <v>206</v>
      </c>
    </row>
    <row r="42" customFormat="false" ht="15" hidden="false" customHeight="false" outlineLevel="0" collapsed="false">
      <c r="A42" s="58" t="s">
        <v>149</v>
      </c>
      <c r="B42" s="26" t="n">
        <v>29</v>
      </c>
      <c r="C42" s="26" t="n">
        <v>18</v>
      </c>
      <c r="D42" s="26" t="n">
        <v>31</v>
      </c>
      <c r="E42" s="26" t="n">
        <v>18</v>
      </c>
      <c r="F42" s="26" t="n">
        <v>14</v>
      </c>
      <c r="G42" s="26" t="n">
        <v>12</v>
      </c>
      <c r="H42" s="26" t="n">
        <v>28</v>
      </c>
      <c r="I42" s="26" t="n">
        <v>36</v>
      </c>
      <c r="J42" s="26" t="n">
        <v>9</v>
      </c>
      <c r="K42" s="26" t="n">
        <v>17</v>
      </c>
      <c r="L42" s="26" t="n">
        <f aca="false">SUM(B42:K42)</f>
        <v>212</v>
      </c>
    </row>
    <row r="43" customFormat="false" ht="15" hidden="false" customHeight="false" outlineLevel="0" collapsed="false">
      <c r="A43" s="41" t="s">
        <v>150</v>
      </c>
      <c r="B43" s="29" t="n">
        <v>30</v>
      </c>
      <c r="C43" s="29" t="n">
        <v>19</v>
      </c>
      <c r="D43" s="29" t="n">
        <v>32</v>
      </c>
      <c r="E43" s="29" t="n">
        <v>19</v>
      </c>
      <c r="F43" s="29" t="n">
        <v>14</v>
      </c>
      <c r="G43" s="29" t="n">
        <v>12</v>
      </c>
      <c r="H43" s="29" t="n">
        <v>29</v>
      </c>
      <c r="I43" s="29" t="n">
        <v>37</v>
      </c>
      <c r="J43" s="29" t="n">
        <v>9</v>
      </c>
      <c r="K43" s="29" t="n">
        <v>17</v>
      </c>
      <c r="L43" s="29" t="n">
        <f aca="false">SUM(B43:K43)</f>
        <v>218</v>
      </c>
    </row>
    <row r="44" customFormat="false" ht="15" hidden="false" customHeight="false" outlineLevel="0" collapsed="false">
      <c r="A44" s="58" t="s">
        <v>151</v>
      </c>
      <c r="B44" s="26" t="n">
        <v>30</v>
      </c>
      <c r="C44" s="26" t="n">
        <v>20</v>
      </c>
      <c r="D44" s="26" t="n">
        <v>34</v>
      </c>
      <c r="E44" s="26" t="n">
        <v>20</v>
      </c>
      <c r="F44" s="26" t="n">
        <v>15</v>
      </c>
      <c r="G44" s="26" t="n">
        <v>12</v>
      </c>
      <c r="H44" s="26" t="n">
        <v>30</v>
      </c>
      <c r="I44" s="26" t="n">
        <v>38</v>
      </c>
      <c r="J44" s="26" t="n">
        <v>9</v>
      </c>
      <c r="K44" s="26" t="n">
        <v>18</v>
      </c>
      <c r="L44" s="26" t="n">
        <f aca="false">SUM(B44:K44)</f>
        <v>226</v>
      </c>
    </row>
    <row r="45" customFormat="false" ht="15" hidden="false" customHeight="false" outlineLevel="0" collapsed="false">
      <c r="A45" s="41" t="s">
        <v>152</v>
      </c>
      <c r="B45" s="29" t="n">
        <v>31</v>
      </c>
      <c r="C45" s="29" t="n">
        <v>20</v>
      </c>
      <c r="D45" s="29" t="n">
        <v>35</v>
      </c>
      <c r="E45" s="29" t="n">
        <v>20</v>
      </c>
      <c r="F45" s="29" t="n">
        <v>15</v>
      </c>
      <c r="G45" s="29" t="n">
        <v>12</v>
      </c>
      <c r="H45" s="29" t="n">
        <v>30</v>
      </c>
      <c r="I45" s="29" t="n">
        <v>40</v>
      </c>
      <c r="J45" s="29" t="n">
        <v>10</v>
      </c>
      <c r="K45" s="29" t="n">
        <v>18</v>
      </c>
      <c r="L45" s="29" t="n">
        <f aca="false">SUM(B45:K45)</f>
        <v>231</v>
      </c>
    </row>
    <row r="46" customFormat="false" ht="15" hidden="false" customHeight="false" outlineLevel="0" collapsed="false">
      <c r="A46" s="58" t="s">
        <v>153</v>
      </c>
      <c r="B46" s="26" t="n">
        <v>31</v>
      </c>
      <c r="C46" s="26" t="n">
        <v>20</v>
      </c>
      <c r="D46" s="26" t="n">
        <v>36</v>
      </c>
      <c r="E46" s="26" t="n">
        <v>20</v>
      </c>
      <c r="F46" s="26" t="n">
        <v>16</v>
      </c>
      <c r="G46" s="26" t="n">
        <v>13</v>
      </c>
      <c r="H46" s="26" t="n">
        <v>31</v>
      </c>
      <c r="I46" s="26" t="n">
        <v>41</v>
      </c>
      <c r="J46" s="26" t="n">
        <v>10</v>
      </c>
      <c r="K46" s="26" t="n">
        <v>19</v>
      </c>
      <c r="L46" s="26" t="n">
        <f aca="false">SUM(B46:K46)</f>
        <v>237</v>
      </c>
    </row>
    <row r="47" customFormat="false" ht="15" hidden="false" customHeight="false" outlineLevel="0" collapsed="false">
      <c r="A47" s="41" t="s">
        <v>154</v>
      </c>
      <c r="B47" s="29" t="n">
        <v>32</v>
      </c>
      <c r="C47" s="29" t="n">
        <v>21</v>
      </c>
      <c r="D47" s="29" t="n">
        <v>37</v>
      </c>
      <c r="E47" s="29" t="n">
        <v>21</v>
      </c>
      <c r="F47" s="29" t="n">
        <v>16</v>
      </c>
      <c r="G47" s="29" t="n">
        <v>13</v>
      </c>
      <c r="H47" s="29" t="n">
        <v>32</v>
      </c>
      <c r="I47" s="29" t="n">
        <v>42</v>
      </c>
      <c r="J47" s="29" t="n">
        <v>10</v>
      </c>
      <c r="K47" s="29" t="n">
        <v>19</v>
      </c>
      <c r="L47" s="29" t="n">
        <f aca="false">SUM(B47:K47)</f>
        <v>243</v>
      </c>
    </row>
    <row r="48" customFormat="false" ht="15" hidden="false" customHeight="false" outlineLevel="0" collapsed="false">
      <c r="A48" s="58" t="s">
        <v>155</v>
      </c>
      <c r="B48" s="26" t="n">
        <v>32</v>
      </c>
      <c r="C48" s="26" t="n">
        <v>21</v>
      </c>
      <c r="D48" s="26" t="n">
        <v>38</v>
      </c>
      <c r="E48" s="26" t="n">
        <v>22</v>
      </c>
      <c r="F48" s="26" t="n">
        <v>16</v>
      </c>
      <c r="G48" s="26" t="n">
        <v>13</v>
      </c>
      <c r="H48" s="26" t="n">
        <v>33</v>
      </c>
      <c r="I48" s="26" t="n">
        <v>43</v>
      </c>
      <c r="J48" s="26" t="n">
        <v>10</v>
      </c>
      <c r="K48" s="26" t="n">
        <v>19</v>
      </c>
      <c r="L48" s="26" t="n">
        <f aca="false">SUM(B48:K48)</f>
        <v>247</v>
      </c>
    </row>
    <row r="49" customFormat="false" ht="15" hidden="false" customHeight="false" outlineLevel="0" collapsed="false">
      <c r="A49" s="41" t="s">
        <v>156</v>
      </c>
      <c r="B49" s="29" t="n">
        <v>33</v>
      </c>
      <c r="C49" s="29" t="n">
        <v>22</v>
      </c>
      <c r="D49" s="29" t="n">
        <v>39</v>
      </c>
      <c r="E49" s="29" t="n">
        <v>22</v>
      </c>
      <c r="F49" s="29" t="n">
        <v>17</v>
      </c>
      <c r="G49" s="29" t="n">
        <v>14</v>
      </c>
      <c r="H49" s="29" t="n">
        <v>33</v>
      </c>
      <c r="I49" s="29" t="n">
        <v>43</v>
      </c>
      <c r="J49" s="29" t="n">
        <v>10</v>
      </c>
      <c r="K49" s="29" t="n">
        <v>20</v>
      </c>
      <c r="L49" s="29" t="n">
        <f aca="false">SUM(B49:K49)</f>
        <v>253</v>
      </c>
    </row>
    <row r="50" customFormat="false" ht="15" hidden="false" customHeight="false" outlineLevel="0" collapsed="false">
      <c r="A50" s="58" t="s">
        <v>157</v>
      </c>
      <c r="B50" s="26" t="n">
        <v>34</v>
      </c>
      <c r="C50" s="26" t="n">
        <v>22</v>
      </c>
      <c r="D50" s="26" t="n">
        <v>40</v>
      </c>
      <c r="E50" s="26" t="n">
        <v>22</v>
      </c>
      <c r="F50" s="26" t="n">
        <v>17</v>
      </c>
      <c r="G50" s="26" t="n">
        <v>14</v>
      </c>
      <c r="H50" s="26" t="n">
        <v>34</v>
      </c>
      <c r="I50" s="26" t="n">
        <v>44</v>
      </c>
      <c r="J50" s="26" t="n">
        <v>11</v>
      </c>
      <c r="K50" s="26" t="n">
        <v>20</v>
      </c>
      <c r="L50" s="26" t="n">
        <f aca="false">SUM(B50:K50)</f>
        <v>258</v>
      </c>
    </row>
    <row r="51" customFormat="false" ht="15" hidden="false" customHeight="false" outlineLevel="0" collapsed="false">
      <c r="A51" s="41" t="s">
        <v>158</v>
      </c>
      <c r="B51" s="29" t="n">
        <v>34</v>
      </c>
      <c r="C51" s="29" t="n">
        <v>23</v>
      </c>
      <c r="D51" s="29" t="n">
        <v>41</v>
      </c>
      <c r="E51" s="29" t="n">
        <v>23</v>
      </c>
      <c r="F51" s="29" t="n">
        <v>18</v>
      </c>
      <c r="G51" s="29" t="n">
        <v>14</v>
      </c>
      <c r="H51" s="29" t="n">
        <v>35</v>
      </c>
      <c r="I51" s="29" t="n">
        <v>45</v>
      </c>
      <c r="J51" s="29" t="n">
        <v>11</v>
      </c>
      <c r="K51" s="29" t="n">
        <v>21</v>
      </c>
      <c r="L51" s="29" t="n">
        <f aca="false">SUM(B51:K51)</f>
        <v>265</v>
      </c>
    </row>
    <row r="52" customFormat="false" ht="15" hidden="false" customHeight="false" outlineLevel="0" collapsed="false">
      <c r="A52" s="58" t="s">
        <v>159</v>
      </c>
      <c r="B52" s="26" t="n">
        <v>34</v>
      </c>
      <c r="C52" s="26" t="n">
        <v>23</v>
      </c>
      <c r="D52" s="26" t="n">
        <v>42</v>
      </c>
      <c r="E52" s="26" t="n">
        <v>24</v>
      </c>
      <c r="F52" s="26" t="n">
        <v>18</v>
      </c>
      <c r="G52" s="26" t="n">
        <v>14</v>
      </c>
      <c r="H52" s="26" t="n">
        <v>35</v>
      </c>
      <c r="I52" s="26" t="n">
        <v>45</v>
      </c>
      <c r="J52" s="26" t="n">
        <v>11</v>
      </c>
      <c r="K52" s="26" t="n">
        <v>21</v>
      </c>
      <c r="L52" s="26" t="n">
        <f aca="false">SUM(B52:K52)</f>
        <v>267</v>
      </c>
    </row>
    <row r="53" customFormat="false" ht="15" hidden="false" customHeight="false" outlineLevel="0" collapsed="false">
      <c r="A53" s="41" t="s">
        <v>160</v>
      </c>
      <c r="B53" s="29" t="n">
        <v>35</v>
      </c>
      <c r="C53" s="29" t="n">
        <v>24</v>
      </c>
      <c r="D53" s="29" t="n">
        <v>44</v>
      </c>
      <c r="E53" s="29" t="n">
        <v>24</v>
      </c>
      <c r="F53" s="29" t="n">
        <v>18</v>
      </c>
      <c r="G53" s="29" t="n">
        <v>14</v>
      </c>
      <c r="H53" s="29" t="n">
        <v>36</v>
      </c>
      <c r="I53" s="29" t="n">
        <v>46</v>
      </c>
      <c r="J53" s="29" t="n">
        <v>12</v>
      </c>
      <c r="K53" s="29" t="n">
        <v>22</v>
      </c>
      <c r="L53" s="29" t="n">
        <f aca="false">SUM(B53:K53)</f>
        <v>275</v>
      </c>
    </row>
    <row r="54" customFormat="false" ht="15" hidden="false" customHeight="false" outlineLevel="0" collapsed="false">
      <c r="A54" s="58" t="s">
        <v>161</v>
      </c>
      <c r="B54" s="26" t="n">
        <v>36</v>
      </c>
      <c r="C54" s="26" t="n">
        <v>24</v>
      </c>
      <c r="D54" s="26" t="n">
        <v>45</v>
      </c>
      <c r="E54" s="26" t="n">
        <v>24</v>
      </c>
      <c r="F54" s="26" t="n">
        <v>19</v>
      </c>
      <c r="G54" s="26" t="n">
        <v>15</v>
      </c>
      <c r="H54" s="26" t="n">
        <v>37</v>
      </c>
      <c r="I54" s="26" t="n">
        <v>47</v>
      </c>
      <c r="J54" s="26" t="n">
        <v>12</v>
      </c>
      <c r="K54" s="26" t="n">
        <v>22</v>
      </c>
      <c r="L54" s="26" t="n">
        <f aca="false">SUM(B54:K54)</f>
        <v>281</v>
      </c>
    </row>
    <row r="55" customFormat="false" ht="15" hidden="false" customHeight="false" outlineLevel="0" collapsed="false">
      <c r="A55" s="41" t="s">
        <v>162</v>
      </c>
      <c r="B55" s="29" t="n">
        <v>36</v>
      </c>
      <c r="C55" s="29" t="n">
        <v>24</v>
      </c>
      <c r="D55" s="29" t="n">
        <v>46</v>
      </c>
      <c r="E55" s="29" t="n">
        <v>25</v>
      </c>
      <c r="F55" s="29" t="n">
        <v>19</v>
      </c>
      <c r="G55" s="29" t="n">
        <v>15</v>
      </c>
      <c r="H55" s="29" t="n">
        <v>37</v>
      </c>
      <c r="I55" s="29" t="n">
        <v>47</v>
      </c>
      <c r="J55" s="29" t="n">
        <v>12</v>
      </c>
      <c r="K55" s="29" t="n">
        <v>22</v>
      </c>
      <c r="L55" s="29" t="n">
        <f aca="false">SUM(B55:K55)</f>
        <v>283</v>
      </c>
    </row>
    <row r="56" customFormat="false" ht="15" hidden="false" customHeight="false" outlineLevel="0" collapsed="false">
      <c r="A56" s="58" t="s">
        <v>163</v>
      </c>
      <c r="B56" s="26" t="n">
        <v>36</v>
      </c>
      <c r="C56" s="26" t="n">
        <v>25</v>
      </c>
      <c r="D56" s="26" t="n">
        <v>47</v>
      </c>
      <c r="E56" s="26" t="n">
        <v>26</v>
      </c>
      <c r="F56" s="26" t="n">
        <v>20</v>
      </c>
      <c r="G56" s="26" t="n">
        <v>15</v>
      </c>
      <c r="H56" s="26" t="n">
        <v>38</v>
      </c>
      <c r="I56" s="26" t="n">
        <v>48</v>
      </c>
      <c r="J56" s="26" t="n">
        <v>12</v>
      </c>
      <c r="K56" s="26" t="n">
        <v>23</v>
      </c>
      <c r="L56" s="26" t="n">
        <f aca="false">SUM(B56:K56)</f>
        <v>290</v>
      </c>
    </row>
    <row r="57" customFormat="false" ht="15" hidden="false" customHeight="false" outlineLevel="0" collapsed="false">
      <c r="A57" s="41" t="s">
        <v>164</v>
      </c>
      <c r="B57" s="29" t="n">
        <v>37</v>
      </c>
      <c r="C57" s="29" t="n">
        <v>25</v>
      </c>
      <c r="D57" s="29" t="n">
        <v>48</v>
      </c>
      <c r="E57" s="29" t="n">
        <v>26</v>
      </c>
      <c r="F57" s="29" t="n">
        <v>20</v>
      </c>
      <c r="G57" s="29" t="n">
        <v>16</v>
      </c>
      <c r="H57" s="29" t="n">
        <v>39</v>
      </c>
      <c r="I57" s="29" t="n">
        <v>49</v>
      </c>
      <c r="J57" s="29" t="n">
        <v>12</v>
      </c>
      <c r="K57" s="29" t="n">
        <v>23</v>
      </c>
      <c r="L57" s="29" t="n">
        <f aca="false">SUM(B57:K57)</f>
        <v>295</v>
      </c>
    </row>
    <row r="58" customFormat="false" ht="15" hidden="false" customHeight="false" outlineLevel="0" collapsed="false">
      <c r="A58" s="58" t="s">
        <v>165</v>
      </c>
      <c r="B58" s="26" t="n">
        <v>38</v>
      </c>
      <c r="C58" s="26" t="n">
        <v>26</v>
      </c>
      <c r="D58" s="26" t="n">
        <v>49</v>
      </c>
      <c r="E58" s="26" t="n">
        <v>26</v>
      </c>
      <c r="F58" s="26" t="n">
        <v>21</v>
      </c>
      <c r="G58" s="26" t="n">
        <v>16</v>
      </c>
      <c r="H58" s="26" t="n">
        <v>39</v>
      </c>
      <c r="I58" s="26" t="n">
        <v>49</v>
      </c>
      <c r="J58" s="26" t="n">
        <v>13</v>
      </c>
      <c r="K58" s="26" t="n">
        <v>24</v>
      </c>
      <c r="L58" s="26" t="n">
        <f aca="false">SUM(B58:K58)</f>
        <v>301</v>
      </c>
    </row>
    <row r="59" customFormat="false" ht="15" hidden="false" customHeight="false" outlineLevel="0" collapsed="false">
      <c r="A59" s="41" t="s">
        <v>166</v>
      </c>
      <c r="B59" s="29" t="n">
        <v>38</v>
      </c>
      <c r="C59" s="29" t="n">
        <v>26</v>
      </c>
      <c r="D59" s="29" t="n">
        <v>50</v>
      </c>
      <c r="E59" s="29" t="n">
        <v>27</v>
      </c>
      <c r="F59" s="29" t="n">
        <v>21</v>
      </c>
      <c r="G59" s="29" t="n">
        <v>16</v>
      </c>
      <c r="H59" s="29" t="n">
        <v>40</v>
      </c>
      <c r="I59" s="29" t="n">
        <v>50</v>
      </c>
      <c r="J59" s="29" t="n">
        <v>13</v>
      </c>
      <c r="K59" s="29" t="n">
        <v>24</v>
      </c>
      <c r="L59" s="29" t="n">
        <f aca="false">SUM(B59:K59)</f>
        <v>305</v>
      </c>
    </row>
    <row r="60" customFormat="false" ht="15" hidden="false" customHeight="false" outlineLevel="0" collapsed="false">
      <c r="A60" s="38" t="s">
        <v>433</v>
      </c>
      <c r="B60" s="40" t="n">
        <f aca="false">MAX(B6:B59)</f>
        <v>38</v>
      </c>
      <c r="C60" s="40" t="n">
        <f aca="false">MAX(C6:C59)</f>
        <v>26</v>
      </c>
      <c r="D60" s="40" t="n">
        <f aca="false">MAX(D6:D59)</f>
        <v>50</v>
      </c>
      <c r="E60" s="40" t="n">
        <f aca="false">MAX(E6:E59)</f>
        <v>27</v>
      </c>
      <c r="F60" s="40" t="n">
        <f aca="false">MAX(F6:F59)</f>
        <v>21</v>
      </c>
      <c r="G60" s="40" t="n">
        <f aca="false">MAX(G6:G59)</f>
        <v>16</v>
      </c>
      <c r="H60" s="40" t="n">
        <f aca="false">MAX(H6:H59)</f>
        <v>40</v>
      </c>
      <c r="I60" s="40" t="n">
        <f aca="false">MAX(I6:I59)</f>
        <v>50</v>
      </c>
      <c r="J60" s="40" t="n">
        <f aca="false">MAX(J6:J59)</f>
        <v>13</v>
      </c>
      <c r="K60" s="40" t="n">
        <f aca="false">MAX(K6:K59)</f>
        <v>24</v>
      </c>
      <c r="L60" s="40" t="n">
        <f aca="false">MAX(L6:L59)</f>
        <v>305</v>
      </c>
    </row>
    <row r="62" customFormat="false" ht="18.75" hidden="false" customHeight="true" outlineLevel="0" collapsed="false">
      <c r="A62" s="23" t="s">
        <v>434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customFormat="false" ht="16.5" hidden="false" customHeight="true" outlineLevel="0" collapsed="false">
      <c r="A63" s="11" t="s">
        <v>173</v>
      </c>
      <c r="B63" s="24" t="s">
        <v>174</v>
      </c>
      <c r="C63" s="24" t="s">
        <v>258</v>
      </c>
      <c r="D63" s="24" t="s">
        <v>259</v>
      </c>
      <c r="E63" s="24" t="s">
        <v>260</v>
      </c>
      <c r="F63" s="24" t="s">
        <v>261</v>
      </c>
      <c r="G63" s="24" t="s">
        <v>262</v>
      </c>
    </row>
    <row r="64" customFormat="false" ht="15" hidden="false" customHeight="false" outlineLevel="0" collapsed="false">
      <c r="A64" s="58" t="s">
        <v>175</v>
      </c>
      <c r="B64" s="34" t="n">
        <v>34</v>
      </c>
      <c r="C64" s="26" t="n">
        <v>7</v>
      </c>
      <c r="D64" s="26" t="n">
        <v>17</v>
      </c>
      <c r="E64" s="26" t="n">
        <v>25</v>
      </c>
      <c r="F64" s="26" t="n">
        <v>32</v>
      </c>
      <c r="G64" s="26" t="n">
        <v>38</v>
      </c>
    </row>
    <row r="65" customFormat="false" ht="15" hidden="false" customHeight="false" outlineLevel="0" collapsed="false">
      <c r="A65" s="41" t="s">
        <v>176</v>
      </c>
      <c r="B65" s="36" t="n">
        <v>38</v>
      </c>
      <c r="C65" s="29" t="n">
        <v>3</v>
      </c>
      <c r="D65" s="29" t="n">
        <v>9</v>
      </c>
      <c r="E65" s="29" t="n">
        <v>15</v>
      </c>
      <c r="F65" s="29" t="n">
        <v>21</v>
      </c>
      <c r="G65" s="29" t="n">
        <v>26</v>
      </c>
    </row>
    <row r="66" customFormat="false" ht="15" hidden="false" customHeight="false" outlineLevel="0" collapsed="false">
      <c r="A66" s="58" t="s">
        <v>177</v>
      </c>
      <c r="B66" s="34" t="n">
        <v>30</v>
      </c>
      <c r="C66" s="26" t="n">
        <v>2</v>
      </c>
      <c r="D66" s="26" t="n">
        <v>11</v>
      </c>
      <c r="E66" s="26" t="n">
        <v>23</v>
      </c>
      <c r="F66" s="26" t="n">
        <v>37</v>
      </c>
      <c r="G66" s="26" t="n">
        <v>50</v>
      </c>
    </row>
    <row r="67" customFormat="false" ht="15" hidden="false" customHeight="false" outlineLevel="0" collapsed="false">
      <c r="A67" s="41" t="s">
        <v>178</v>
      </c>
      <c r="B67" s="36" t="n">
        <v>30</v>
      </c>
      <c r="C67" s="29" t="n">
        <v>3</v>
      </c>
      <c r="D67" s="29" t="n">
        <v>9</v>
      </c>
      <c r="E67" s="29" t="n">
        <v>15</v>
      </c>
      <c r="F67" s="29" t="n">
        <v>21</v>
      </c>
      <c r="G67" s="29" t="n">
        <v>27</v>
      </c>
    </row>
    <row r="68" customFormat="false" ht="15" hidden="false" customHeight="false" outlineLevel="0" collapsed="false">
      <c r="A68" s="58" t="s">
        <v>179</v>
      </c>
      <c r="B68" s="34" t="n">
        <v>32</v>
      </c>
      <c r="C68" s="26" t="n">
        <v>2</v>
      </c>
      <c r="D68" s="26" t="n">
        <v>6</v>
      </c>
      <c r="E68" s="26" t="n">
        <v>11</v>
      </c>
      <c r="F68" s="26" t="n">
        <v>16</v>
      </c>
      <c r="G68" s="26" t="n">
        <v>21</v>
      </c>
    </row>
    <row r="69" customFormat="false" ht="15" hidden="false" customHeight="false" outlineLevel="0" collapsed="false">
      <c r="A69" s="41" t="s">
        <v>180</v>
      </c>
      <c r="B69" s="36" t="n">
        <v>28</v>
      </c>
      <c r="C69" s="29" t="n">
        <v>2</v>
      </c>
      <c r="D69" s="29" t="n">
        <v>6</v>
      </c>
      <c r="E69" s="29" t="n">
        <v>10</v>
      </c>
      <c r="F69" s="29" t="n">
        <v>13</v>
      </c>
      <c r="G69" s="29" t="n">
        <v>16</v>
      </c>
    </row>
    <row r="70" customFormat="false" ht="15" hidden="false" customHeight="false" outlineLevel="0" collapsed="false">
      <c r="A70" s="58" t="s">
        <v>181</v>
      </c>
      <c r="B70" s="34" t="n">
        <v>26</v>
      </c>
      <c r="C70" s="26" t="n">
        <v>2</v>
      </c>
      <c r="D70" s="26" t="n">
        <v>11</v>
      </c>
      <c r="E70" s="26" t="n">
        <v>22</v>
      </c>
      <c r="F70" s="26" t="n">
        <v>32</v>
      </c>
      <c r="G70" s="26" t="n">
        <v>40</v>
      </c>
    </row>
    <row r="71" customFormat="false" ht="15" hidden="false" customHeight="false" outlineLevel="0" collapsed="false">
      <c r="A71" s="41" t="s">
        <v>182</v>
      </c>
      <c r="B71" s="36" t="n">
        <v>27</v>
      </c>
      <c r="C71" s="29" t="n">
        <v>3</v>
      </c>
      <c r="D71" s="29" t="n">
        <v>14</v>
      </c>
      <c r="E71" s="29" t="n">
        <v>28</v>
      </c>
      <c r="F71" s="29" t="n">
        <v>42</v>
      </c>
      <c r="G71" s="29" t="n">
        <v>50</v>
      </c>
    </row>
    <row r="72" customFormat="false" ht="15" hidden="false" customHeight="false" outlineLevel="0" collapsed="false">
      <c r="A72" s="58" t="s">
        <v>183</v>
      </c>
      <c r="B72" s="34" t="n">
        <v>36</v>
      </c>
      <c r="C72" s="26" t="n">
        <v>1</v>
      </c>
      <c r="D72" s="26" t="n">
        <v>4</v>
      </c>
      <c r="E72" s="26" t="n">
        <v>7</v>
      </c>
      <c r="F72" s="26" t="n">
        <v>10</v>
      </c>
      <c r="G72" s="26" t="n">
        <v>13</v>
      </c>
    </row>
    <row r="73" customFormat="false" ht="15" hidden="false" customHeight="false" outlineLevel="0" collapsed="false">
      <c r="A73" s="41" t="s">
        <v>184</v>
      </c>
      <c r="B73" s="36" t="n">
        <v>24</v>
      </c>
      <c r="C73" s="29" t="n">
        <v>2</v>
      </c>
      <c r="D73" s="29" t="n">
        <v>8</v>
      </c>
      <c r="E73" s="29" t="n">
        <v>14</v>
      </c>
      <c r="F73" s="29" t="n">
        <v>19</v>
      </c>
      <c r="G73" s="29" t="n">
        <v>24</v>
      </c>
    </row>
    <row r="74" customFormat="false" ht="15" hidden="false" customHeight="false" outlineLevel="0" collapsed="false">
      <c r="A74" s="38" t="s">
        <v>185</v>
      </c>
      <c r="B74" s="77"/>
      <c r="C74" s="40" t="n">
        <f aca="false">SUM(C64:C73)</f>
        <v>27</v>
      </c>
      <c r="D74" s="40" t="n">
        <f aca="false">SUM(D64:D73)</f>
        <v>95</v>
      </c>
      <c r="E74" s="40" t="n">
        <f aca="false">SUM(E64:E73)</f>
        <v>170</v>
      </c>
      <c r="F74" s="40" t="n">
        <f aca="false">SUM(F64:F73)</f>
        <v>243</v>
      </c>
      <c r="G74" s="40" t="n">
        <f aca="false">SUM(G64:G73)</f>
        <v>305</v>
      </c>
    </row>
    <row r="75" customFormat="false" ht="15" hidden="false" customHeight="false" outlineLevel="0" collapsed="false">
      <c r="A75" s="58" t="s">
        <v>435</v>
      </c>
      <c r="B75" s="78"/>
      <c r="C75" s="26" t="n">
        <f aca="false">C74</f>
        <v>27</v>
      </c>
      <c r="D75" s="26" t="n">
        <f aca="false">D74-C74</f>
        <v>68</v>
      </c>
      <c r="E75" s="26" t="n">
        <f aca="false">E74-D74</f>
        <v>75</v>
      </c>
      <c r="F75" s="26" t="n">
        <f aca="false">F74-E74</f>
        <v>73</v>
      </c>
      <c r="G75" s="26" t="n">
        <f aca="false">G74-F74</f>
        <v>62</v>
      </c>
    </row>
    <row r="76" customFormat="false" ht="15" hidden="false" customHeight="false" outlineLevel="0" collapsed="false">
      <c r="A76" s="15" t="s">
        <v>436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8" customFormat="false" ht="18.75" hidden="false" customHeight="true" outlineLevel="0" collapsed="false">
      <c r="A78" s="23" t="s">
        <v>437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customFormat="false" ht="16.5" hidden="false" customHeight="true" outlineLevel="0" collapsed="false">
      <c r="A79" s="11" t="s">
        <v>257</v>
      </c>
      <c r="B79" s="24" t="s">
        <v>258</v>
      </c>
      <c r="C79" s="24" t="s">
        <v>259</v>
      </c>
      <c r="D79" s="24" t="s">
        <v>260</v>
      </c>
      <c r="E79" s="24" t="s">
        <v>261</v>
      </c>
      <c r="F79" s="24" t="s">
        <v>262</v>
      </c>
      <c r="G79" s="24" t="s">
        <v>389</v>
      </c>
    </row>
    <row r="80" customFormat="false" ht="15" hidden="false" customHeight="false" outlineLevel="0" collapsed="false">
      <c r="A80" s="41" t="s">
        <v>438</v>
      </c>
      <c r="B80" s="45" t="n">
        <v>2.940375323</v>
      </c>
      <c r="C80" s="45" t="n">
        <v>19.7374739836</v>
      </c>
      <c r="D80" s="45" t="n">
        <v>44.8221246862</v>
      </c>
      <c r="E80" s="45" t="n">
        <v>74.1895670052</v>
      </c>
      <c r="F80" s="45" t="n">
        <v>105.6075041045</v>
      </c>
      <c r="G80" s="45" t="n">
        <f aca="false">SUM(B80:F80)</f>
        <v>247.2970451025</v>
      </c>
    </row>
    <row r="81" customFormat="false" ht="15" hidden="false" customHeight="false" outlineLevel="0" collapsed="false">
      <c r="A81" s="58" t="s">
        <v>439</v>
      </c>
      <c r="B81" s="43" t="n">
        <v>0.0732813119</v>
      </c>
      <c r="C81" s="43" t="n">
        <v>1.0224095295</v>
      </c>
      <c r="D81" s="43" t="n">
        <v>2.8244312633</v>
      </c>
      <c r="E81" s="43" t="n">
        <v>4.9356701414</v>
      </c>
      <c r="F81" s="43" t="n">
        <v>7.0574877373</v>
      </c>
      <c r="G81" s="43" t="n">
        <f aca="false">SUM(B81:F81)</f>
        <v>15.9132799834</v>
      </c>
    </row>
    <row r="82" customFormat="false" ht="15" hidden="false" customHeight="false" outlineLevel="0" collapsed="false">
      <c r="A82" s="38" t="s">
        <v>440</v>
      </c>
      <c r="B82" s="46" t="n">
        <f aca="false">B80+B81</f>
        <v>3.0136566349</v>
      </c>
      <c r="C82" s="46" t="n">
        <f aca="false">C80+C81</f>
        <v>20.7598835131</v>
      </c>
      <c r="D82" s="46" t="n">
        <f aca="false">D80+D81</f>
        <v>47.6465559495</v>
      </c>
      <c r="E82" s="46" t="n">
        <f aca="false">E80+E81</f>
        <v>79.1252371466</v>
      </c>
      <c r="F82" s="46" t="n">
        <f aca="false">F80+F81</f>
        <v>112.6649918418</v>
      </c>
      <c r="G82" s="46" t="n">
        <f aca="false">G80+G81</f>
        <v>263.2103250859</v>
      </c>
    </row>
    <row r="83" customFormat="false" ht="15" hidden="false" customHeight="false" outlineLevel="0" collapsed="false">
      <c r="A83" s="58" t="s">
        <v>269</v>
      </c>
      <c r="B83" s="43" t="n">
        <v>0.3315022298</v>
      </c>
      <c r="C83" s="43" t="n">
        <v>2.2835871864</v>
      </c>
      <c r="D83" s="43" t="n">
        <v>5.2411211544</v>
      </c>
      <c r="E83" s="43" t="n">
        <v>8.7037760861</v>
      </c>
      <c r="F83" s="43" t="n">
        <v>12.3931491026</v>
      </c>
      <c r="G83" s="43" t="n">
        <f aca="false">SUM(B83:F83)</f>
        <v>28.9531357593</v>
      </c>
    </row>
    <row r="84" customFormat="false" ht="15" hidden="false" customHeight="false" outlineLevel="0" collapsed="false">
      <c r="A84" s="41" t="s">
        <v>441</v>
      </c>
      <c r="B84" s="37" t="n">
        <f aca="false">IFERROR(B83/B82,"n/m")</f>
        <v>0.109999999987059</v>
      </c>
      <c r="C84" s="37" t="n">
        <f aca="false">IFERROR(C83/C82,"n/m")</f>
        <v>0.109999999998025</v>
      </c>
      <c r="D84" s="37" t="n">
        <f aca="false">IFERROR(D83/D82,"n/m")</f>
        <v>0.109999999999056</v>
      </c>
      <c r="E84" s="37" t="n">
        <f aca="false">IFERROR(E83/E82,"n/m")</f>
        <v>0.109999999999671</v>
      </c>
      <c r="F84" s="37" t="n">
        <f aca="false">IFERROR(F83/F82,"n/m")</f>
        <v>0.110000000000018</v>
      </c>
      <c r="G84" s="37" t="n">
        <f aca="false">IFERROR(G83/G82,"n/m")</f>
        <v>0.109999999999434</v>
      </c>
    </row>
    <row r="85" customFormat="false" ht="15" hidden="false" customHeight="false" outlineLevel="0" collapsed="false">
      <c r="A85" s="67" t="s">
        <v>442</v>
      </c>
      <c r="B85" s="68" t="n">
        <f aca="false">B82+B83</f>
        <v>3.3451588647</v>
      </c>
      <c r="C85" s="68" t="n">
        <f aca="false">C82+C83</f>
        <v>23.0434706995</v>
      </c>
      <c r="D85" s="68" t="n">
        <f aca="false">D82+D83</f>
        <v>52.8876771039</v>
      </c>
      <c r="E85" s="68" t="n">
        <f aca="false">E82+E83</f>
        <v>87.8290132327</v>
      </c>
      <c r="F85" s="68" t="n">
        <f aca="false">F82+F83</f>
        <v>125.0581409444</v>
      </c>
      <c r="G85" s="68" t="n">
        <f aca="false">G82+G83</f>
        <v>292.1634608452</v>
      </c>
    </row>
    <row r="86" customFormat="false" ht="15" hidden="false" customHeight="false" outlineLevel="0" collapsed="false">
      <c r="A86" s="41" t="s">
        <v>276</v>
      </c>
      <c r="B86" s="29" t="n">
        <v>27</v>
      </c>
      <c r="C86" s="29" t="n">
        <v>95</v>
      </c>
      <c r="D86" s="29" t="n">
        <v>170</v>
      </c>
      <c r="E86" s="29" t="n">
        <v>243</v>
      </c>
      <c r="F86" s="29" t="n">
        <v>305</v>
      </c>
      <c r="G86" s="29" t="n">
        <f aca="false">F86</f>
        <v>305</v>
      </c>
    </row>
    <row r="87" customFormat="false" ht="15" hidden="false" customHeight="false" outlineLevel="0" collapsed="false">
      <c r="A87" s="58" t="s">
        <v>443</v>
      </c>
      <c r="B87" s="34" t="n">
        <f aca="false">IFERROR(B82*100/B86,0)</f>
        <v>11.1616912403704</v>
      </c>
      <c r="C87" s="34" t="n">
        <f aca="false">IFERROR(C82*100/C86,0)</f>
        <v>21.8525089611579</v>
      </c>
      <c r="D87" s="34" t="n">
        <f aca="false">IFERROR(D82*100/D86,0)</f>
        <v>28.0273858526471</v>
      </c>
      <c r="E87" s="34" t="n">
        <f aca="false">IFERROR(E82*100/E86,0)</f>
        <v>32.5618259862551</v>
      </c>
      <c r="F87" s="34" t="n">
        <f aca="false">IFERROR(F82*100/F86,0)</f>
        <v>36.9393415874754</v>
      </c>
    </row>
    <row r="88" customFormat="false" ht="15" hidden="false" customHeight="false" outlineLevel="0" collapsed="false">
      <c r="A88" s="15" t="s">
        <v>444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customFormat="false" ht="15" hidden="false" customHeight="false" outlineLevel="0" collapsed="false">
      <c r="A89" s="15" t="s">
        <v>445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</row>
  </sheetData>
  <mergeCells count="8">
    <mergeCell ref="A1:L1"/>
    <mergeCell ref="A2:L2"/>
    <mergeCell ref="A3:L3"/>
    <mergeCell ref="A62:L62"/>
    <mergeCell ref="A76:L76"/>
    <mergeCell ref="A78:L78"/>
    <mergeCell ref="A88:L88"/>
    <mergeCell ref="A89:L89"/>
  </mergeCells>
  <conditionalFormatting sqref="B6:L9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0" min="2" style="0" width="12"/>
  </cols>
  <sheetData>
    <row r="1" customFormat="false" ht="30" hidden="false" customHeight="true" outlineLevel="0" collapsed="false">
      <c r="A1" s="20" t="s">
        <v>446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customFormat="false" ht="15.75" hidden="false" customHeight="true" outlineLevel="0" collapsed="false">
      <c r="A2" s="21" t="s">
        <v>447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customFormat="false" ht="13.5" hidden="false" customHeight="true" outlineLevel="0" collapsed="false">
      <c r="A3" s="22" t="s">
        <v>448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5" customFormat="false" ht="18.75" hidden="false" customHeight="true" outlineLevel="0" collapsed="false">
      <c r="A5" s="23" t="s">
        <v>388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customFormat="false" ht="16.5" hidden="false" customHeight="true" outlineLevel="0" collapsed="false">
      <c r="A6" s="11" t="s">
        <v>375</v>
      </c>
      <c r="B6" s="24" t="s">
        <v>258</v>
      </c>
      <c r="C6" s="24" t="s">
        <v>259</v>
      </c>
      <c r="D6" s="24" t="s">
        <v>260</v>
      </c>
      <c r="E6" s="24" t="s">
        <v>261</v>
      </c>
      <c r="F6" s="24" t="s">
        <v>262</v>
      </c>
      <c r="G6" s="24" t="s">
        <v>389</v>
      </c>
    </row>
    <row r="7" customFormat="false" ht="15" hidden="false" customHeight="false" outlineLevel="0" collapsed="false">
      <c r="A7" s="41" t="s">
        <v>449</v>
      </c>
      <c r="B7" s="36" t="n">
        <v>0.36</v>
      </c>
      <c r="C7" s="36" t="n">
        <v>13.04</v>
      </c>
      <c r="D7" s="36" t="n">
        <v>54.6</v>
      </c>
      <c r="E7" s="36" t="n">
        <v>139.5</v>
      </c>
      <c r="F7" s="36" t="n">
        <v>280</v>
      </c>
      <c r="G7" s="36" t="n">
        <f aca="false">SUM(B7:F7)</f>
        <v>487.5</v>
      </c>
    </row>
    <row r="8" customFormat="false" ht="15" hidden="false" customHeight="false" outlineLevel="0" collapsed="false">
      <c r="A8" s="58" t="s">
        <v>450</v>
      </c>
      <c r="B8" s="34" t="n">
        <v>0</v>
      </c>
      <c r="C8" s="34" t="n">
        <v>13.285</v>
      </c>
      <c r="D8" s="34" t="n">
        <v>147.792</v>
      </c>
      <c r="E8" s="34" t="n">
        <v>746.088</v>
      </c>
      <c r="F8" s="34" t="n">
        <v>2211.458</v>
      </c>
      <c r="G8" s="34" t="n">
        <f aca="false">SUM(B8:F8)</f>
        <v>3118.623</v>
      </c>
    </row>
    <row r="9" customFormat="false" ht="15" hidden="false" customHeight="false" outlineLevel="0" collapsed="false">
      <c r="A9" s="38" t="s">
        <v>451</v>
      </c>
      <c r="B9" s="79" t="n">
        <f aca="false">B7+B8</f>
        <v>0.36</v>
      </c>
      <c r="C9" s="79" t="n">
        <f aca="false">C7+C8</f>
        <v>26.325</v>
      </c>
      <c r="D9" s="79" t="n">
        <f aca="false">D7+D8</f>
        <v>202.392</v>
      </c>
      <c r="E9" s="79" t="n">
        <f aca="false">E7+E8</f>
        <v>885.588</v>
      </c>
      <c r="F9" s="79" t="n">
        <f aca="false">F7+F8</f>
        <v>2491.458</v>
      </c>
      <c r="G9" s="79" t="n">
        <f aca="false">G7+G8</f>
        <v>3606.123</v>
      </c>
    </row>
    <row r="10" customFormat="false" ht="15" hidden="false" customHeight="false" outlineLevel="0" collapsed="false">
      <c r="A10" s="41" t="s">
        <v>452</v>
      </c>
      <c r="B10" s="45" t="n">
        <v>0.0144</v>
      </c>
      <c r="C10" s="45" t="n">
        <v>1.8901324621</v>
      </c>
      <c r="D10" s="45" t="n">
        <v>18.0775314634</v>
      </c>
      <c r="E10" s="45" t="n">
        <v>81.1799878901</v>
      </c>
      <c r="F10" s="45" t="n">
        <v>230.3175544147</v>
      </c>
      <c r="G10" s="45" t="n">
        <f aca="false">SUM(B10:F10)</f>
        <v>331.4796062303</v>
      </c>
    </row>
    <row r="11" customFormat="false" ht="15" hidden="false" customHeight="false" outlineLevel="0" collapsed="false">
      <c r="A11" s="58" t="s">
        <v>453</v>
      </c>
      <c r="B11" s="43" t="n">
        <v>0.1094040343</v>
      </c>
      <c r="C11" s="43" t="n">
        <v>1.6749955148</v>
      </c>
      <c r="D11" s="43" t="n">
        <v>6.8355136448</v>
      </c>
      <c r="E11" s="43" t="n">
        <v>16.5669364541</v>
      </c>
      <c r="F11" s="43" t="n">
        <v>32.2453123787</v>
      </c>
      <c r="G11" s="43" t="n">
        <f aca="false">SUM(B11:F11)</f>
        <v>57.4321620267</v>
      </c>
    </row>
    <row r="12" customFormat="false" ht="15" hidden="false" customHeight="false" outlineLevel="0" collapsed="false">
      <c r="A12" s="47" t="s">
        <v>379</v>
      </c>
      <c r="B12" s="75" t="n">
        <f aca="false">IFERROR(B10*10000000/(B9*1000000),0)</f>
        <v>0.4</v>
      </c>
      <c r="C12" s="75" t="n">
        <f aca="false">IFERROR(C10*10000000/(C9*1000000),0)</f>
        <v>0.717999035935423</v>
      </c>
      <c r="D12" s="75" t="n">
        <f aca="false">IFERROR(D10*10000000/(D9*1000000),0)</f>
        <v>0.893193973249931</v>
      </c>
      <c r="E12" s="75" t="n">
        <f aca="false">IFERROR(E10*10000000/(E9*1000000),0)</f>
        <v>0.916678951048343</v>
      </c>
      <c r="F12" s="75" t="n">
        <f aca="false">IFERROR(F10*10000000/(F9*1000000),0)</f>
        <v>0.924428806003152</v>
      </c>
      <c r="G12" s="75" t="n">
        <f aca="false">IFERROR(G10*10000000/(G9*1000000),0)</f>
        <v>0.919213255427782</v>
      </c>
    </row>
    <row r="13" customFormat="false" ht="15" hidden="false" customHeight="false" outlineLevel="0" collapsed="false">
      <c r="A13" s="59" t="s">
        <v>380</v>
      </c>
      <c r="B13" s="74" t="n">
        <f aca="false">IFERROR(B11*10000000/(B9*1000000),0)</f>
        <v>3.03900095277778</v>
      </c>
      <c r="C13" s="74" t="n">
        <f aca="false">IFERROR(C11*10000000/(C9*1000000),0)</f>
        <v>0.636275599164293</v>
      </c>
      <c r="D13" s="74" t="n">
        <f aca="false">IFERROR(D11*10000000/(D9*1000000),0)</f>
        <v>0.337736355429068</v>
      </c>
      <c r="E13" s="74" t="n">
        <f aca="false">IFERROR(E11*10000000/(E9*1000000),0)</f>
        <v>0.18707272969033</v>
      </c>
      <c r="F13" s="74" t="n">
        <f aca="false">IFERROR(F11*10000000/(F9*1000000),0)</f>
        <v>0.129423463605246</v>
      </c>
      <c r="G13" s="74" t="n">
        <f aca="false">IFERROR(G11*10000000/(G9*1000000),0)</f>
        <v>0.159262903752035</v>
      </c>
    </row>
    <row r="14" customFormat="false" ht="15" hidden="false" customHeight="false" outlineLevel="0" collapsed="false">
      <c r="A14" s="47" t="s">
        <v>381</v>
      </c>
      <c r="B14" s="75" t="n">
        <f aca="false">B12-B13</f>
        <v>-2.63900095277778</v>
      </c>
      <c r="C14" s="75" t="n">
        <f aca="false">C12-C13</f>
        <v>0.08172343677113</v>
      </c>
      <c r="D14" s="75" t="n">
        <f aca="false">D12-D13</f>
        <v>0.555457617820863</v>
      </c>
      <c r="E14" s="75" t="n">
        <f aca="false">E12-E13</f>
        <v>0.729606221358013</v>
      </c>
      <c r="F14" s="75" t="n">
        <f aca="false">F12-F13</f>
        <v>0.795005342397905</v>
      </c>
      <c r="G14" s="75" t="n">
        <f aca="false">G12-G13</f>
        <v>0.759950351675747</v>
      </c>
    </row>
    <row r="15" customFormat="false" ht="15" hidden="false" customHeight="false" outlineLevel="0" collapsed="false">
      <c r="A15" s="67" t="s">
        <v>266</v>
      </c>
      <c r="B15" s="80" t="n">
        <f aca="false">IFERROR((B10-B11)/B10,"n/m")</f>
        <v>-6.59750238194444</v>
      </c>
      <c r="C15" s="80" t="n">
        <f aca="false">IFERROR((C10-C11)/C10,"n/m")</f>
        <v>0.113821095406708</v>
      </c>
      <c r="D15" s="80" t="n">
        <f aca="false">IFERROR((D10-D11)/D10,"n/m")</f>
        <v>0.621877928486018</v>
      </c>
      <c r="E15" s="80" t="n">
        <f aca="false">IFERROR((E10-E11)/E10,"n/m")</f>
        <v>0.79592339337956</v>
      </c>
      <c r="F15" s="80" t="n">
        <f aca="false">IFERROR((F10-F11)/F10,"n/m")</f>
        <v>0.859996288773367</v>
      </c>
      <c r="G15" s="80" t="n">
        <f aca="false">IFERROR((G10-G11)/G10,"n/m")</f>
        <v>0.826739983554831</v>
      </c>
    </row>
    <row r="16" customFormat="false" ht="15" hidden="false" customHeight="false" outlineLevel="0" collapsed="false">
      <c r="A16" s="15" t="s">
        <v>454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8" customFormat="false" ht="18.75" hidden="false" customHeight="true" outlineLevel="0" collapsed="false">
      <c r="A18" s="23" t="s">
        <v>455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customFormat="false" ht="27.75" hidden="false" customHeight="true" outlineLevel="0" collapsed="false">
      <c r="A19" s="11" t="s">
        <v>375</v>
      </c>
      <c r="B19" s="33" t="s">
        <v>394</v>
      </c>
      <c r="C19" s="33" t="s">
        <v>395</v>
      </c>
      <c r="D19" s="33" t="s">
        <v>396</v>
      </c>
      <c r="E19" s="33" t="s">
        <v>397</v>
      </c>
      <c r="F19" s="33" t="s">
        <v>398</v>
      </c>
      <c r="G19" s="33" t="s">
        <v>399</v>
      </c>
      <c r="H19" s="33" t="s">
        <v>400</v>
      </c>
      <c r="I19" s="33" t="s">
        <v>401</v>
      </c>
      <c r="J19" s="33" t="s">
        <v>402</v>
      </c>
      <c r="K19" s="33" t="s">
        <v>403</v>
      </c>
      <c r="L19" s="33" t="s">
        <v>404</v>
      </c>
      <c r="M19" s="33" t="s">
        <v>405</v>
      </c>
      <c r="N19" s="33" t="s">
        <v>406</v>
      </c>
      <c r="O19" s="33" t="s">
        <v>407</v>
      </c>
      <c r="P19" s="33" t="s">
        <v>408</v>
      </c>
      <c r="Q19" s="33" t="s">
        <v>409</v>
      </c>
      <c r="R19" s="33" t="s">
        <v>410</v>
      </c>
      <c r="S19" s="33" t="s">
        <v>411</v>
      </c>
      <c r="T19" s="33" t="s">
        <v>456</v>
      </c>
    </row>
    <row r="20" customFormat="false" ht="15" hidden="false" customHeight="false" outlineLevel="0" collapsed="false">
      <c r="A20" s="41" t="s">
        <v>457</v>
      </c>
      <c r="B20" s="36" t="n">
        <v>0</v>
      </c>
      <c r="C20" s="36" t="n">
        <v>0.36</v>
      </c>
      <c r="D20" s="36" t="n">
        <v>1.02</v>
      </c>
      <c r="E20" s="36" t="n">
        <v>2.22</v>
      </c>
      <c r="F20" s="36" t="n">
        <v>3.9</v>
      </c>
      <c r="G20" s="36" t="n">
        <v>5.9</v>
      </c>
      <c r="H20" s="36" t="n">
        <v>8.5</v>
      </c>
      <c r="I20" s="36" t="n">
        <v>11.35</v>
      </c>
      <c r="J20" s="36" t="n">
        <v>15.2</v>
      </c>
      <c r="K20" s="36" t="n">
        <v>19.55</v>
      </c>
      <c r="L20" s="36" t="n">
        <v>25</v>
      </c>
      <c r="M20" s="36" t="n">
        <v>31</v>
      </c>
      <c r="N20" s="36" t="n">
        <v>38</v>
      </c>
      <c r="O20" s="36" t="n">
        <v>45.5</v>
      </c>
      <c r="P20" s="36" t="n">
        <v>54.5</v>
      </c>
      <c r="Q20" s="36" t="n">
        <v>64.25</v>
      </c>
      <c r="R20" s="36" t="n">
        <v>75</v>
      </c>
      <c r="S20" s="36" t="n">
        <v>86.25</v>
      </c>
      <c r="T20" s="36" t="n">
        <f aca="false">SUM(B20:S20)</f>
        <v>487.5</v>
      </c>
    </row>
    <row r="21" customFormat="false" ht="15" hidden="false" customHeight="false" outlineLevel="0" collapsed="false">
      <c r="A21" s="58" t="s">
        <v>450</v>
      </c>
      <c r="B21" s="34" t="n">
        <v>0</v>
      </c>
      <c r="C21" s="34" t="n">
        <v>0</v>
      </c>
      <c r="D21" s="34" t="n">
        <v>0</v>
      </c>
      <c r="E21" s="34" t="n">
        <v>1.385</v>
      </c>
      <c r="F21" s="34" t="n">
        <v>3.995</v>
      </c>
      <c r="G21" s="34" t="n">
        <v>7.905</v>
      </c>
      <c r="H21" s="34" t="n">
        <v>16.01</v>
      </c>
      <c r="I21" s="34" t="n">
        <v>26.867</v>
      </c>
      <c r="J21" s="34" t="n">
        <v>42.22</v>
      </c>
      <c r="K21" s="34" t="n">
        <v>62.695</v>
      </c>
      <c r="L21" s="34" t="n">
        <v>90.822</v>
      </c>
      <c r="M21" s="34" t="n">
        <v>152.45</v>
      </c>
      <c r="N21" s="34" t="n">
        <v>214.884</v>
      </c>
      <c r="O21" s="34" t="n">
        <v>287.931</v>
      </c>
      <c r="P21" s="34" t="n">
        <v>373.005</v>
      </c>
      <c r="Q21" s="34" t="n">
        <v>478.435</v>
      </c>
      <c r="R21" s="34" t="n">
        <v>605.508</v>
      </c>
      <c r="S21" s="34" t="n">
        <v>754.51</v>
      </c>
      <c r="T21" s="34" t="n">
        <f aca="false">SUM(B21:S21)</f>
        <v>3118.622</v>
      </c>
    </row>
    <row r="22" customFormat="false" ht="15" hidden="false" customHeight="false" outlineLevel="0" collapsed="false">
      <c r="A22" s="38" t="s">
        <v>451</v>
      </c>
      <c r="B22" s="79" t="n">
        <f aca="false">B20+B21</f>
        <v>0</v>
      </c>
      <c r="C22" s="79" t="n">
        <f aca="false">C20+C21</f>
        <v>0.36</v>
      </c>
      <c r="D22" s="79" t="n">
        <f aca="false">D20+D21</f>
        <v>1.02</v>
      </c>
      <c r="E22" s="79" t="n">
        <f aca="false">E20+E21</f>
        <v>3.605</v>
      </c>
      <c r="F22" s="79" t="n">
        <f aca="false">F20+F21</f>
        <v>7.895</v>
      </c>
      <c r="G22" s="79" t="n">
        <f aca="false">G20+G21</f>
        <v>13.805</v>
      </c>
      <c r="H22" s="79" t="n">
        <f aca="false">H20+H21</f>
        <v>24.51</v>
      </c>
      <c r="I22" s="79" t="n">
        <f aca="false">I20+I21</f>
        <v>38.217</v>
      </c>
      <c r="J22" s="79" t="n">
        <f aca="false">J20+J21</f>
        <v>57.42</v>
      </c>
      <c r="K22" s="79" t="n">
        <f aca="false">K20+K21</f>
        <v>82.245</v>
      </c>
      <c r="L22" s="79" t="n">
        <f aca="false">L20+L21</f>
        <v>115.822</v>
      </c>
      <c r="M22" s="79" t="n">
        <f aca="false">M20+M21</f>
        <v>183.45</v>
      </c>
      <c r="N22" s="79" t="n">
        <f aca="false">N20+N21</f>
        <v>252.884</v>
      </c>
      <c r="O22" s="79" t="n">
        <f aca="false">O20+O21</f>
        <v>333.431</v>
      </c>
      <c r="P22" s="79" t="n">
        <f aca="false">P20+P21</f>
        <v>427.505</v>
      </c>
      <c r="Q22" s="79" t="n">
        <f aca="false">Q20+Q21</f>
        <v>542.685</v>
      </c>
      <c r="R22" s="79" t="n">
        <f aca="false">R20+R21</f>
        <v>680.508</v>
      </c>
      <c r="S22" s="79" t="n">
        <f aca="false">S20+S21</f>
        <v>840.76</v>
      </c>
      <c r="T22" s="79" t="n">
        <f aca="false">T20+T21</f>
        <v>3606.122</v>
      </c>
    </row>
    <row r="23" customFormat="false" ht="15" hidden="false" customHeight="false" outlineLevel="0" collapsed="false">
      <c r="A23" s="41" t="s">
        <v>452</v>
      </c>
      <c r="B23" s="45" t="n">
        <v>0</v>
      </c>
      <c r="C23" s="45" t="n">
        <v>0.0144</v>
      </c>
      <c r="D23" s="45" t="n">
        <v>0.0408</v>
      </c>
      <c r="E23" s="45" t="n">
        <v>0.222170281</v>
      </c>
      <c r="F23" s="45" t="n">
        <v>0.562260222</v>
      </c>
      <c r="G23" s="45" t="n">
        <v>1.0649019591</v>
      </c>
      <c r="H23" s="45" t="n">
        <v>2.0478631418</v>
      </c>
      <c r="I23" s="45" t="n">
        <v>3.3398866644</v>
      </c>
      <c r="J23" s="45" t="n">
        <v>5.1549781047</v>
      </c>
      <c r="K23" s="45" t="n">
        <v>7.5348035525</v>
      </c>
      <c r="L23" s="45" t="n">
        <v>10.7358627927</v>
      </c>
      <c r="M23" s="45" t="n">
        <v>16.7561422572</v>
      </c>
      <c r="N23" s="45" t="n">
        <v>23.1145506325</v>
      </c>
      <c r="O23" s="45" t="n">
        <v>30.5734322077</v>
      </c>
      <c r="P23" s="45" t="n">
        <v>39.3450869398</v>
      </c>
      <c r="Q23" s="45" t="n">
        <v>50.0147032196</v>
      </c>
      <c r="R23" s="45" t="n">
        <v>62.8766346149</v>
      </c>
      <c r="S23" s="45" t="n">
        <v>78.0811296403</v>
      </c>
      <c r="T23" s="45" t="n">
        <f aca="false">SUM(B23:S23)</f>
        <v>331.4796062302</v>
      </c>
    </row>
    <row r="24" customFormat="false" ht="15" hidden="false" customHeight="false" outlineLevel="0" collapsed="false">
      <c r="A24" s="58" t="s">
        <v>453</v>
      </c>
      <c r="B24" s="43" t="n">
        <v>0.0285705044</v>
      </c>
      <c r="C24" s="43" t="n">
        <v>0.08083353</v>
      </c>
      <c r="D24" s="43" t="n">
        <v>0.1497348273</v>
      </c>
      <c r="E24" s="43" t="n">
        <v>0.2901453925</v>
      </c>
      <c r="F24" s="43" t="n">
        <v>0.4925685379</v>
      </c>
      <c r="G24" s="43" t="n">
        <v>0.7425467571</v>
      </c>
      <c r="H24" s="43" t="n">
        <v>1.0916936165</v>
      </c>
      <c r="I24" s="43" t="n">
        <v>1.4607986924</v>
      </c>
      <c r="J24" s="43" t="n">
        <v>1.8848338909</v>
      </c>
      <c r="K24" s="43" t="n">
        <v>2.398187445</v>
      </c>
      <c r="L24" s="43" t="n">
        <v>2.9716190646</v>
      </c>
      <c r="M24" s="43" t="n">
        <v>3.7362822555</v>
      </c>
      <c r="N24" s="43" t="n">
        <v>4.5302562444</v>
      </c>
      <c r="O24" s="43" t="n">
        <v>5.3287788898</v>
      </c>
      <c r="P24" s="43" t="n">
        <v>6.2495625102</v>
      </c>
      <c r="Q24" s="43" t="n">
        <v>7.3475933496</v>
      </c>
      <c r="R24" s="43" t="n">
        <v>8.6058982474</v>
      </c>
      <c r="S24" s="43" t="n">
        <v>10.0422582715</v>
      </c>
      <c r="T24" s="43" t="n">
        <f aca="false">SUM(B24:S24)</f>
        <v>57.432162027</v>
      </c>
    </row>
    <row r="25" customFormat="false" ht="15" hidden="false" customHeight="false" outlineLevel="0" collapsed="false">
      <c r="A25" s="47" t="s">
        <v>379</v>
      </c>
      <c r="B25" s="75" t="n">
        <f aca="false">IFERROR(B23*10000000/(B22*1000000),0)</f>
        <v>0</v>
      </c>
      <c r="C25" s="75" t="n">
        <f aca="false">IFERROR(C23*10000000/(C22*1000000),0)</f>
        <v>0.4</v>
      </c>
      <c r="D25" s="75" t="n">
        <f aca="false">IFERROR(D23*10000000/(D22*1000000),0)</f>
        <v>0.4</v>
      </c>
      <c r="E25" s="75" t="n">
        <f aca="false">IFERROR(E23*10000000/(E22*1000000),0)</f>
        <v>0.616283719833564</v>
      </c>
      <c r="F25" s="75" t="n">
        <f aca="false">IFERROR(F23*10000000/(F22*1000000),0)</f>
        <v>0.712172542115263</v>
      </c>
      <c r="G25" s="75" t="n">
        <f aca="false">IFERROR(G23*10000000/(G22*1000000),0)</f>
        <v>0.771388597681999</v>
      </c>
      <c r="H25" s="75" t="n">
        <f aca="false">IFERROR(H23*10000000/(H22*1000000),0)</f>
        <v>0.835521477682579</v>
      </c>
      <c r="I25" s="75" t="n">
        <f aca="false">IFERROR(I23*10000000/(I22*1000000),0)</f>
        <v>0.873926960357956</v>
      </c>
      <c r="J25" s="75" t="n">
        <f aca="false">IFERROR(J23*10000000/(J22*1000000),0)</f>
        <v>0.897766998380355</v>
      </c>
      <c r="K25" s="75" t="n">
        <f aca="false">IFERROR(K23*10000000/(K22*1000000),0)</f>
        <v>0.916141230773907</v>
      </c>
      <c r="L25" s="75" t="n">
        <f aca="false">IFERROR(L23*10000000/(L22*1000000),0)</f>
        <v>0.926927767842034</v>
      </c>
      <c r="M25" s="75" t="n">
        <f aca="false">IFERROR(M23*10000000/(M22*1000000),0)</f>
        <v>0.913390147571545</v>
      </c>
      <c r="N25" s="75" t="n">
        <f aca="false">IFERROR(N23*10000000/(N22*1000000),0)</f>
        <v>0.914037686547983</v>
      </c>
      <c r="O25" s="75" t="n">
        <f aca="false">IFERROR(O23*10000000/(O22*1000000),0)</f>
        <v>0.916934304479788</v>
      </c>
      <c r="P25" s="75" t="n">
        <f aca="false">IFERROR(P23*10000000/(P22*1000000),0)</f>
        <v>0.920342146636881</v>
      </c>
      <c r="Q25" s="75" t="n">
        <f aca="false">IFERROR(Q23*10000000/(Q22*1000000),0)</f>
        <v>0.921615729559505</v>
      </c>
      <c r="R25" s="75" t="n">
        <f aca="false">IFERROR(R23*10000000/(R22*1000000),0)</f>
        <v>0.923966134342285</v>
      </c>
      <c r="S25" s="75" t="n">
        <f aca="false">IFERROR(S23*10000000/(S22*1000000),0)</f>
        <v>0.928697007948761</v>
      </c>
      <c r="T25" s="75" t="n">
        <f aca="false">IFERROR(T23*10000000/(T22*1000000),0)</f>
        <v>0.919213510331042</v>
      </c>
    </row>
    <row r="26" customFormat="false" ht="15" hidden="false" customHeight="false" outlineLevel="0" collapsed="false">
      <c r="A26" s="59" t="s">
        <v>380</v>
      </c>
      <c r="B26" s="74" t="n">
        <f aca="false">IFERROR(B24*10000000/(B22*1000000),0)</f>
        <v>0</v>
      </c>
      <c r="C26" s="74" t="n">
        <f aca="false">IFERROR(C24*10000000/(C22*1000000),0)</f>
        <v>2.24537583333333</v>
      </c>
      <c r="D26" s="74" t="n">
        <f aca="false">IFERROR(D24*10000000/(D22*1000000),0)</f>
        <v>1.46798850294118</v>
      </c>
      <c r="E26" s="74" t="n">
        <f aca="false">IFERROR(E24*10000000/(E22*1000000),0)</f>
        <v>0.804841588072122</v>
      </c>
      <c r="F26" s="74" t="n">
        <f aca="false">IFERROR(F24*10000000/(F22*1000000),0)</f>
        <v>0.623899351361621</v>
      </c>
      <c r="G26" s="74" t="n">
        <f aca="false">IFERROR(G24*10000000/(G22*1000000),0)</f>
        <v>0.537882475262586</v>
      </c>
      <c r="H26" s="74" t="n">
        <f aca="false">IFERROR(H24*10000000/(H22*1000000),0)</f>
        <v>0.445407432272542</v>
      </c>
      <c r="I26" s="74" t="n">
        <f aca="false">IFERROR(I24*10000000/(I22*1000000),0)</f>
        <v>0.382237928775152</v>
      </c>
      <c r="J26" s="74" t="n">
        <f aca="false">IFERROR(J24*10000000/(J22*1000000),0)</f>
        <v>0.32825389949495</v>
      </c>
      <c r="K26" s="74" t="n">
        <f aca="false">IFERROR(K24*10000000/(K22*1000000),0)</f>
        <v>0.291590667517782</v>
      </c>
      <c r="L26" s="74" t="n">
        <f aca="false">IFERROR(L24*10000000/(L22*1000000),0)</f>
        <v>0.256567756091244</v>
      </c>
      <c r="M26" s="74" t="n">
        <f aca="false">IFERROR(M24*10000000/(M22*1000000),0)</f>
        <v>0.203667607277187</v>
      </c>
      <c r="N26" s="74" t="n">
        <f aca="false">IFERROR(N24*10000000/(N22*1000000),0)</f>
        <v>0.179143648645229</v>
      </c>
      <c r="O26" s="74" t="n">
        <f aca="false">IFERROR(O24*10000000/(O22*1000000),0)</f>
        <v>0.159816540447649</v>
      </c>
      <c r="P26" s="74" t="n">
        <f aca="false">IFERROR(P24*10000000/(P22*1000000),0)</f>
        <v>0.146186886941673</v>
      </c>
      <c r="Q26" s="74" t="n">
        <f aca="false">IFERROR(Q24*10000000/(Q22*1000000),0)</f>
        <v>0.135393337748418</v>
      </c>
      <c r="R26" s="74" t="n">
        <f aca="false">IFERROR(R24*10000000/(R22*1000000),0)</f>
        <v>0.126462851978228</v>
      </c>
      <c r="S26" s="74" t="n">
        <f aca="false">IFERROR(S24*10000000/(S22*1000000),0)</f>
        <v>0.119442626570008</v>
      </c>
      <c r="T26" s="74" t="n">
        <f aca="false">IFERROR(T24*10000000/(T22*1000000),0)</f>
        <v>0.159262947917458</v>
      </c>
    </row>
    <row r="27" customFormat="false" ht="15" hidden="false" customHeight="false" outlineLevel="0" collapsed="false">
      <c r="A27" s="38" t="s">
        <v>266</v>
      </c>
      <c r="B27" s="76" t="str">
        <f aca="false">IFERROR((B23-B24)/B23,"n/m")</f>
        <v>n/m</v>
      </c>
      <c r="C27" s="76" t="n">
        <f aca="false">IFERROR((C23-C24)/C23,"n/m")</f>
        <v>-4.61343958333333</v>
      </c>
      <c r="D27" s="76" t="n">
        <f aca="false">IFERROR((D23-D24)/D23,"n/m")</f>
        <v>-2.66997125735294</v>
      </c>
      <c r="E27" s="76" t="n">
        <f aca="false">IFERROR((E23-E24)/E23,"n/m")</f>
        <v>-0.3059595153503</v>
      </c>
      <c r="F27" s="76" t="n">
        <f aca="false">IFERROR((F23-F24)/F23,"n/m")</f>
        <v>0.123949163346647</v>
      </c>
      <c r="G27" s="76" t="n">
        <f aca="false">IFERROR((G23-G24)/G23,"n/m")</f>
        <v>0.302708807365176</v>
      </c>
      <c r="H27" s="76" t="n">
        <f aca="false">IFERROR((H23-H24)/H23,"n/m")</f>
        <v>0.466910852479898</v>
      </c>
      <c r="I27" s="76" t="n">
        <f aca="false">IFERROR((I23-I24)/I23,"n/m")</f>
        <v>0.562620280511097</v>
      </c>
      <c r="J27" s="76" t="n">
        <f aca="false">IFERROR((J23-J24)/J23,"n/m")</f>
        <v>0.634366266428654</v>
      </c>
      <c r="K27" s="76" t="n">
        <f aca="false">IFERROR((K23-K24)/K23,"n/m")</f>
        <v>0.681718650222235</v>
      </c>
      <c r="L27" s="76" t="n">
        <f aca="false">IFERROR((L23-L24)/L23,"n/m")</f>
        <v>0.723206311222551</v>
      </c>
      <c r="M27" s="76" t="n">
        <f aca="false">IFERROR((M23-M24)/M23,"n/m")</f>
        <v>0.777020139949305</v>
      </c>
      <c r="N27" s="76" t="n">
        <f aca="false">IFERROR((N23-N24)/N23,"n/m")</f>
        <v>0.804008465644568</v>
      </c>
      <c r="O27" s="76" t="n">
        <f aca="false">IFERROR((O23-O24)/O23,"n/m")</f>
        <v>0.825705571634907</v>
      </c>
      <c r="P27" s="76" t="n">
        <f aca="false">IFERROR((P23-P24)/P23,"n/m")</f>
        <v>0.841160282101749</v>
      </c>
      <c r="Q27" s="76" t="n">
        <f aca="false">IFERROR((Q23-Q24)/Q23,"n/m")</f>
        <v>0.85309133361566</v>
      </c>
      <c r="R27" s="76" t="n">
        <f aca="false">IFERROR((R23-R24)/R23,"n/m")</f>
        <v>0.86313042515541</v>
      </c>
      <c r="S27" s="76" t="n">
        <f aca="false">IFERROR((S23-S24)/S23,"n/m")</f>
        <v>0.871386872631555</v>
      </c>
      <c r="T27" s="76" t="n">
        <f aca="false">IFERROR((T23-T24)/T23,"n/m")</f>
        <v>0.826739983553874</v>
      </c>
    </row>
    <row r="29" customFormat="false" ht="18.75" hidden="false" customHeight="true" outlineLevel="0" collapsed="false">
      <c r="A29" s="6" t="s">
        <v>458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customFormat="false" ht="16.5" hidden="false" customHeight="true" outlineLevel="0" collapsed="false">
      <c r="A30" s="11" t="s">
        <v>459</v>
      </c>
      <c r="B30" s="24" t="s">
        <v>85</v>
      </c>
      <c r="C30" s="24" t="s">
        <v>460</v>
      </c>
      <c r="D30" s="24" t="s">
        <v>210</v>
      </c>
    </row>
    <row r="31" customFormat="false" ht="15" hidden="false" customHeight="false" outlineLevel="0" collapsed="false">
      <c r="A31" s="25" t="s">
        <v>461</v>
      </c>
      <c r="B31" s="32" t="n">
        <v>0.4</v>
      </c>
      <c r="C31" s="32" t="n">
        <f aca="false">B31/90</f>
        <v>0.00444444444444444</v>
      </c>
      <c r="D31" s="27" t="s">
        <v>462</v>
      </c>
    </row>
    <row r="32" customFormat="false" ht="15" hidden="false" customHeight="false" outlineLevel="0" collapsed="false">
      <c r="A32" s="28" t="s">
        <v>463</v>
      </c>
      <c r="B32" s="31" t="n">
        <v>1.6</v>
      </c>
      <c r="C32" s="31" t="n">
        <f aca="false">B32/90</f>
        <v>0.0177777777777778</v>
      </c>
      <c r="D32" s="30" t="s">
        <v>464</v>
      </c>
    </row>
    <row r="33" customFormat="false" ht="15" hidden="false" customHeight="false" outlineLevel="0" collapsed="false">
      <c r="A33" s="25" t="s">
        <v>465</v>
      </c>
      <c r="B33" s="32" t="n">
        <v>1.2</v>
      </c>
      <c r="C33" s="32" t="n">
        <f aca="false">B33/90</f>
        <v>0.0133333333333333</v>
      </c>
      <c r="D33" s="27" t="s">
        <v>466</v>
      </c>
    </row>
    <row r="34" customFormat="false" ht="15" hidden="false" customHeight="false" outlineLevel="0" collapsed="false">
      <c r="A34" s="28" t="s">
        <v>467</v>
      </c>
      <c r="B34" s="31" t="n">
        <v>0.9</v>
      </c>
      <c r="C34" s="31" t="n">
        <f aca="false">B34/90</f>
        <v>0.01</v>
      </c>
      <c r="D34" s="30" t="s">
        <v>468</v>
      </c>
    </row>
    <row r="35" customFormat="false" ht="15" hidden="false" customHeight="false" outlineLevel="0" collapsed="false">
      <c r="A35" s="25" t="s">
        <v>469</v>
      </c>
      <c r="B35" s="32" t="n">
        <v>0.55</v>
      </c>
      <c r="C35" s="32" t="n">
        <f aca="false">B35/90</f>
        <v>0.00611111111111111</v>
      </c>
      <c r="D35" s="27" t="s">
        <v>470</v>
      </c>
    </row>
    <row r="36" customFormat="false" ht="15" hidden="false" customHeight="false" outlineLevel="0" collapsed="false">
      <c r="A36" s="81" t="s">
        <v>471</v>
      </c>
      <c r="B36" s="75" t="n">
        <v>9</v>
      </c>
      <c r="C36" s="31" t="n">
        <f aca="false">B36/90</f>
        <v>0.1</v>
      </c>
      <c r="D36" s="30" t="s">
        <v>472</v>
      </c>
    </row>
    <row r="37" customFormat="false" ht="15" hidden="false" customHeight="false" outlineLevel="0" collapsed="false">
      <c r="A37" s="38" t="s">
        <v>473</v>
      </c>
      <c r="B37" s="82" t="n">
        <f aca="false">F12</f>
        <v>0.924428806003152</v>
      </c>
      <c r="C37" s="82" t="n">
        <f aca="false">B37/90</f>
        <v>0.0102714311778128</v>
      </c>
      <c r="D37" s="83" t="s">
        <v>474</v>
      </c>
    </row>
    <row r="38" customFormat="false" ht="15" hidden="false" customHeight="false" outlineLevel="0" collapsed="false">
      <c r="A38" s="15" t="s">
        <v>475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customFormat="false" ht="15" hidden="false" customHeight="false" outlineLevel="0" collapsed="false">
      <c r="A39" s="15" t="s">
        <v>476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mergeCells count="9">
    <mergeCell ref="A1:T1"/>
    <mergeCell ref="A2:T2"/>
    <mergeCell ref="A3:T3"/>
    <mergeCell ref="A5:T5"/>
    <mergeCell ref="A16:T16"/>
    <mergeCell ref="A18:T18"/>
    <mergeCell ref="A29:T29"/>
    <mergeCell ref="A38:T38"/>
    <mergeCell ref="A39:T39"/>
  </mergeCells>
  <conditionalFormatting sqref="B6:T65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  <col collapsed="false" customWidth="true" hidden="false" outlineLevel="0" max="9" min="9" style="0" width="40"/>
  </cols>
  <sheetData>
    <row r="1" customFormat="false" ht="30" hidden="false" customHeight="true" outlineLevel="0" collapsed="false">
      <c r="A1" s="20" t="s">
        <v>477</v>
      </c>
      <c r="B1" s="20"/>
      <c r="C1" s="20"/>
      <c r="D1" s="20"/>
      <c r="E1" s="20"/>
      <c r="F1" s="20"/>
      <c r="G1" s="20"/>
      <c r="H1" s="20"/>
      <c r="I1" s="20"/>
    </row>
    <row r="2" customFormat="false" ht="15.75" hidden="false" customHeight="true" outlineLevel="0" collapsed="false">
      <c r="A2" s="21" t="s">
        <v>478</v>
      </c>
      <c r="B2" s="21"/>
      <c r="C2" s="21"/>
      <c r="D2" s="21"/>
      <c r="E2" s="21"/>
      <c r="F2" s="21"/>
      <c r="G2" s="21"/>
      <c r="H2" s="21"/>
      <c r="I2" s="21"/>
    </row>
    <row r="3" customFormat="false" ht="13.5" hidden="false" customHeight="true" outlineLevel="0" collapsed="false">
      <c r="A3" s="22" t="s">
        <v>479</v>
      </c>
      <c r="B3" s="22"/>
      <c r="C3" s="22"/>
      <c r="D3" s="22"/>
      <c r="E3" s="22"/>
      <c r="F3" s="22"/>
      <c r="G3" s="22"/>
      <c r="H3" s="22"/>
      <c r="I3" s="22"/>
    </row>
    <row r="5" customFormat="false" ht="27.75" hidden="false" customHeight="true" outlineLevel="0" collapsed="false">
      <c r="A5" s="11" t="s">
        <v>102</v>
      </c>
      <c r="B5" s="33" t="s">
        <v>480</v>
      </c>
      <c r="C5" s="33" t="s">
        <v>268</v>
      </c>
      <c r="D5" s="33" t="s">
        <v>192</v>
      </c>
      <c r="E5" s="33" t="s">
        <v>481</v>
      </c>
      <c r="F5" s="33" t="s">
        <v>299</v>
      </c>
      <c r="G5" s="33" t="s">
        <v>274</v>
      </c>
      <c r="H5" s="33" t="s">
        <v>298</v>
      </c>
    </row>
    <row r="6" customFormat="false" ht="15" hidden="false" customHeight="false" outlineLevel="0" collapsed="false">
      <c r="A6" s="84" t="s">
        <v>113</v>
      </c>
      <c r="B6" s="85" t="n">
        <v>0</v>
      </c>
      <c r="C6" s="86" t="n">
        <v>-0.4765926667</v>
      </c>
      <c r="D6" s="86" t="n">
        <v>0.00952</v>
      </c>
      <c r="E6" s="86" t="n">
        <v>0</v>
      </c>
      <c r="F6" s="86" t="n">
        <v>8</v>
      </c>
      <c r="G6" s="85" t="n">
        <f aca="false">B6+C6-D6+E6+F6</f>
        <v>7.5138873333</v>
      </c>
      <c r="H6" s="86" t="n">
        <f aca="false">-C6+D6-E6</f>
        <v>0.4861126667</v>
      </c>
      <c r="I6" s="87" t="s">
        <v>482</v>
      </c>
    </row>
    <row r="7" customFormat="false" ht="15" hidden="false" customHeight="false" outlineLevel="0" collapsed="false">
      <c r="A7" s="28" t="s">
        <v>114</v>
      </c>
      <c r="B7" s="48" t="n">
        <f aca="false">G6</f>
        <v>7.5138873333</v>
      </c>
      <c r="C7" s="45" t="n">
        <v>-0.5112543658</v>
      </c>
      <c r="D7" s="45" t="n">
        <v>0.00984</v>
      </c>
      <c r="E7" s="45" t="n">
        <v>0</v>
      </c>
      <c r="F7" s="45" t="n">
        <v>0</v>
      </c>
      <c r="G7" s="48" t="n">
        <f aca="false">B7+C7-D7+E7+F7</f>
        <v>6.9927929675</v>
      </c>
      <c r="H7" s="45" t="n">
        <f aca="false">-C7+D7-E7</f>
        <v>0.5210943658</v>
      </c>
    </row>
    <row r="8" customFormat="false" ht="15" hidden="false" customHeight="false" outlineLevel="0" collapsed="false">
      <c r="A8" s="25" t="s">
        <v>115</v>
      </c>
      <c r="B8" s="60" t="n">
        <f aca="false">G7</f>
        <v>6.9927929675</v>
      </c>
      <c r="C8" s="43" t="n">
        <v>-0.7353662377</v>
      </c>
      <c r="D8" s="43" t="n">
        <v>0.01112</v>
      </c>
      <c r="E8" s="43" t="n">
        <v>0</v>
      </c>
      <c r="F8" s="43" t="n">
        <v>0</v>
      </c>
      <c r="G8" s="60" t="n">
        <f aca="false">B8+C8-D8+E8+F8</f>
        <v>6.2463067298</v>
      </c>
      <c r="H8" s="43" t="n">
        <f aca="false">-C8+D8-E8</f>
        <v>0.7464862377</v>
      </c>
    </row>
    <row r="9" customFormat="false" ht="15" hidden="false" customHeight="false" outlineLevel="0" collapsed="false">
      <c r="A9" s="28" t="s">
        <v>116</v>
      </c>
      <c r="B9" s="48" t="n">
        <f aca="false">G8</f>
        <v>6.2463067298</v>
      </c>
      <c r="C9" s="45" t="n">
        <v>-0.8207510456</v>
      </c>
      <c r="D9" s="45" t="n">
        <v>0.01304</v>
      </c>
      <c r="E9" s="45" t="n">
        <v>0</v>
      </c>
      <c r="F9" s="45" t="n">
        <v>0</v>
      </c>
      <c r="G9" s="48" t="n">
        <f aca="false">B9+C9-D9+E9+F9</f>
        <v>5.4125156842</v>
      </c>
      <c r="H9" s="45" t="n">
        <f aca="false">-C9+D9-E9</f>
        <v>0.8337910456</v>
      </c>
    </row>
    <row r="10" customFormat="false" ht="15" hidden="false" customHeight="false" outlineLevel="0" collapsed="false">
      <c r="A10" s="25" t="s">
        <v>117</v>
      </c>
      <c r="B10" s="60" t="n">
        <f aca="false">G9</f>
        <v>5.4125156842</v>
      </c>
      <c r="C10" s="43" t="n">
        <v>-0.9516187714</v>
      </c>
      <c r="D10" s="43" t="n">
        <v>0.01432</v>
      </c>
      <c r="E10" s="43" t="n">
        <v>0</v>
      </c>
      <c r="F10" s="43" t="n">
        <v>0</v>
      </c>
      <c r="G10" s="60" t="n">
        <f aca="false">B10+C10-D10+E10+F10</f>
        <v>4.4465769128</v>
      </c>
      <c r="H10" s="43" t="n">
        <f aca="false">-C10+D10-E10</f>
        <v>0.9659387714</v>
      </c>
    </row>
    <row r="11" customFormat="false" ht="15" hidden="false" customHeight="false" outlineLevel="0" collapsed="false">
      <c r="A11" s="84" t="s">
        <v>118</v>
      </c>
      <c r="B11" s="85" t="n">
        <f aca="false">G10</f>
        <v>4.4465769128</v>
      </c>
      <c r="C11" s="86" t="n">
        <v>-0.988289441</v>
      </c>
      <c r="D11" s="86" t="n">
        <v>0.01464</v>
      </c>
      <c r="E11" s="86" t="n">
        <v>0</v>
      </c>
      <c r="F11" s="86" t="n">
        <v>63</v>
      </c>
      <c r="G11" s="85" t="n">
        <f aca="false">B11+C11-D11+E11+F11</f>
        <v>66.4436474718</v>
      </c>
      <c r="H11" s="86" t="n">
        <f aca="false">-C11+D11-E11</f>
        <v>1.002929441</v>
      </c>
      <c r="I11" s="87" t="s">
        <v>483</v>
      </c>
    </row>
    <row r="12" customFormat="false" ht="15" hidden="false" customHeight="false" outlineLevel="0" collapsed="false">
      <c r="A12" s="25" t="s">
        <v>119</v>
      </c>
      <c r="B12" s="60" t="n">
        <f aca="false">G11</f>
        <v>66.4436474718</v>
      </c>
      <c r="C12" s="43" t="n">
        <v>-1.1829418959</v>
      </c>
      <c r="D12" s="43" t="n">
        <v>0.15656</v>
      </c>
      <c r="E12" s="43" t="n">
        <v>0</v>
      </c>
      <c r="F12" s="43" t="n">
        <v>0</v>
      </c>
      <c r="G12" s="60" t="n">
        <f aca="false">B12+C12-D12+E12+F12</f>
        <v>65.1041455759</v>
      </c>
      <c r="H12" s="43" t="n">
        <f aca="false">-C12+D12-E12</f>
        <v>1.3395018959</v>
      </c>
    </row>
    <row r="13" customFormat="false" ht="15" hidden="false" customHeight="false" outlineLevel="0" collapsed="false">
      <c r="A13" s="28" t="s">
        <v>120</v>
      </c>
      <c r="B13" s="48" t="n">
        <f aca="false">G12</f>
        <v>65.1041455759</v>
      </c>
      <c r="C13" s="45" t="n">
        <v>-1.3410406692</v>
      </c>
      <c r="D13" s="45" t="n">
        <v>0.01816</v>
      </c>
      <c r="E13" s="45" t="n">
        <v>0</v>
      </c>
      <c r="F13" s="45" t="n">
        <v>0</v>
      </c>
      <c r="G13" s="48" t="n">
        <f aca="false">B13+C13-D13+E13+F13</f>
        <v>63.7449449067</v>
      </c>
      <c r="H13" s="45" t="n">
        <f aca="false">-C13+D13-E13</f>
        <v>1.3592006692</v>
      </c>
    </row>
    <row r="14" customFormat="false" ht="15" hidden="false" customHeight="false" outlineLevel="0" collapsed="false">
      <c r="A14" s="25" t="s">
        <v>121</v>
      </c>
      <c r="B14" s="60" t="n">
        <f aca="false">G13</f>
        <v>63.7449449067</v>
      </c>
      <c r="C14" s="43" t="n">
        <v>-1.7223381832</v>
      </c>
      <c r="D14" s="43" t="n">
        <v>0.02008</v>
      </c>
      <c r="E14" s="43" t="n">
        <v>0</v>
      </c>
      <c r="F14" s="43" t="n">
        <v>0</v>
      </c>
      <c r="G14" s="60" t="n">
        <f aca="false">B14+C14-D14+E14+F14</f>
        <v>62.0025267235</v>
      </c>
      <c r="H14" s="43" t="n">
        <f aca="false">-C14+D14-E14</f>
        <v>1.7424181832</v>
      </c>
    </row>
    <row r="15" customFormat="false" ht="15" hidden="false" customHeight="false" outlineLevel="0" collapsed="false">
      <c r="A15" s="28" t="s">
        <v>122</v>
      </c>
      <c r="B15" s="48" t="n">
        <f aca="false">G14</f>
        <v>62.0025267235</v>
      </c>
      <c r="C15" s="45" t="n">
        <v>-1.6670095321</v>
      </c>
      <c r="D15" s="45" t="n">
        <v>0.02136</v>
      </c>
      <c r="E15" s="45" t="n">
        <v>-0.0396244573</v>
      </c>
      <c r="F15" s="45" t="n">
        <v>0</v>
      </c>
      <c r="G15" s="48" t="n">
        <f aca="false">B15+C15-D15+E15+F15</f>
        <v>60.2745327341</v>
      </c>
      <c r="H15" s="45" t="n">
        <f aca="false">-C15+D15-E15</f>
        <v>1.7279939894</v>
      </c>
    </row>
    <row r="16" customFormat="false" ht="15" hidden="false" customHeight="false" outlineLevel="0" collapsed="false">
      <c r="A16" s="25" t="s">
        <v>123</v>
      </c>
      <c r="B16" s="60" t="n">
        <f aca="false">G15</f>
        <v>60.2745327341</v>
      </c>
      <c r="C16" s="43" t="n">
        <v>-1.8623870308</v>
      </c>
      <c r="D16" s="43" t="n">
        <v>0.02328</v>
      </c>
      <c r="E16" s="43" t="n">
        <v>-0.0404763908</v>
      </c>
      <c r="F16" s="43" t="n">
        <v>0</v>
      </c>
      <c r="G16" s="60" t="n">
        <f aca="false">B16+C16-D16+E16+F16</f>
        <v>58.3483893125</v>
      </c>
      <c r="H16" s="43" t="n">
        <f aca="false">-C16+D16-E16</f>
        <v>1.9261434216</v>
      </c>
    </row>
    <row r="17" customFormat="false" ht="15" hidden="false" customHeight="false" outlineLevel="0" collapsed="false">
      <c r="A17" s="28" t="s">
        <v>124</v>
      </c>
      <c r="B17" s="48" t="n">
        <f aca="false">G16</f>
        <v>58.3483893125</v>
      </c>
      <c r="C17" s="45" t="n">
        <v>-2.2431193225</v>
      </c>
      <c r="D17" s="45" t="n">
        <v>0.02488</v>
      </c>
      <c r="E17" s="45" t="n">
        <v>-0.0413365464</v>
      </c>
      <c r="F17" s="45" t="n">
        <v>0</v>
      </c>
      <c r="G17" s="48" t="n">
        <f aca="false">B17+C17-D17+E17+F17</f>
        <v>56.0390534436</v>
      </c>
      <c r="H17" s="45" t="n">
        <f aca="false">-C17+D17-E17</f>
        <v>2.3093358689</v>
      </c>
    </row>
    <row r="18" customFormat="false" ht="15" hidden="false" customHeight="false" outlineLevel="0" collapsed="false">
      <c r="A18" s="25" t="s">
        <v>125</v>
      </c>
      <c r="B18" s="60" t="n">
        <f aca="false">G17</f>
        <v>56.0390534436</v>
      </c>
      <c r="C18" s="43" t="n">
        <v>-2.2066440393</v>
      </c>
      <c r="D18" s="43" t="n">
        <v>0.02648</v>
      </c>
      <c r="E18" s="43" t="n">
        <v>-0.0616598055</v>
      </c>
      <c r="F18" s="43" t="n">
        <v>0</v>
      </c>
      <c r="G18" s="60" t="n">
        <f aca="false">B18+C18-D18+E18+F18</f>
        <v>53.7442695988</v>
      </c>
      <c r="H18" s="43" t="n">
        <f aca="false">-C18+D18-E18</f>
        <v>2.2947838448</v>
      </c>
    </row>
    <row r="19" customFormat="false" ht="15" hidden="false" customHeight="false" outlineLevel="0" collapsed="false">
      <c r="A19" s="28" t="s">
        <v>126</v>
      </c>
      <c r="B19" s="48" t="n">
        <f aca="false">G18</f>
        <v>53.7442695988</v>
      </c>
      <c r="C19" s="45" t="n">
        <v>-2.4963064527</v>
      </c>
      <c r="D19" s="45" t="n">
        <v>0.02936</v>
      </c>
      <c r="E19" s="45" t="n">
        <v>-0.0600432626</v>
      </c>
      <c r="F19" s="45" t="n">
        <v>0</v>
      </c>
      <c r="G19" s="48" t="n">
        <f aca="false">B19+C19-D19+E19+F19</f>
        <v>51.1585598835</v>
      </c>
      <c r="H19" s="45" t="n">
        <f aca="false">-C19+D19-E19</f>
        <v>2.5857097153</v>
      </c>
    </row>
    <row r="20" customFormat="false" ht="15" hidden="false" customHeight="false" outlineLevel="0" collapsed="false">
      <c r="A20" s="25" t="s">
        <v>127</v>
      </c>
      <c r="B20" s="60" t="n">
        <f aca="false">G19</f>
        <v>51.1585598835</v>
      </c>
      <c r="C20" s="43" t="n">
        <v>-2.8673351127</v>
      </c>
      <c r="D20" s="43" t="n">
        <v>0.03032</v>
      </c>
      <c r="E20" s="43" t="n">
        <v>-0.0652293996</v>
      </c>
      <c r="F20" s="43" t="n">
        <v>0</v>
      </c>
      <c r="G20" s="60" t="n">
        <f aca="false">B20+C20-D20+E20+F20</f>
        <v>48.1956753712</v>
      </c>
      <c r="H20" s="43" t="n">
        <f aca="false">-C20+D20-E20</f>
        <v>2.9628845123</v>
      </c>
    </row>
    <row r="21" customFormat="false" ht="15" hidden="false" customHeight="false" outlineLevel="0" collapsed="false">
      <c r="A21" s="28" t="s">
        <v>128</v>
      </c>
      <c r="B21" s="48" t="n">
        <f aca="false">G20</f>
        <v>48.1956753712</v>
      </c>
      <c r="C21" s="45" t="n">
        <v>-3.0062253477</v>
      </c>
      <c r="D21" s="45" t="n">
        <v>0.03192</v>
      </c>
      <c r="E21" s="45" t="n">
        <v>-0.0935560721</v>
      </c>
      <c r="F21" s="45" t="n">
        <v>0</v>
      </c>
      <c r="G21" s="48" t="n">
        <f aca="false">B21+C21-D21+E21+F21</f>
        <v>45.0639739514</v>
      </c>
      <c r="H21" s="45" t="n">
        <f aca="false">-C21+D21-E21</f>
        <v>3.1317014198</v>
      </c>
    </row>
    <row r="22" customFormat="false" ht="15" hidden="false" customHeight="false" outlineLevel="0" collapsed="false">
      <c r="A22" s="25" t="s">
        <v>129</v>
      </c>
      <c r="B22" s="60" t="n">
        <f aca="false">G21</f>
        <v>45.0639739514</v>
      </c>
      <c r="C22" s="43" t="n">
        <v>-2.9720448238</v>
      </c>
      <c r="D22" s="43" t="n">
        <v>0.03448</v>
      </c>
      <c r="E22" s="43" t="n">
        <v>-0.0977867741</v>
      </c>
      <c r="F22" s="43" t="n">
        <v>0</v>
      </c>
      <c r="G22" s="60" t="n">
        <f aca="false">B22+C22-D22+E22+F22</f>
        <v>41.9596623535</v>
      </c>
      <c r="H22" s="43" t="n">
        <f aca="false">-C22+D22-E22</f>
        <v>3.1043115979</v>
      </c>
    </row>
    <row r="23" customFormat="false" ht="15" hidden="false" customHeight="false" outlineLevel="0" collapsed="false">
      <c r="A23" s="28" t="s">
        <v>130</v>
      </c>
      <c r="B23" s="48" t="n">
        <f aca="false">G22</f>
        <v>41.9596623535</v>
      </c>
      <c r="C23" s="45" t="n">
        <v>-3.1590109654</v>
      </c>
      <c r="D23" s="45" t="n">
        <v>0.0364</v>
      </c>
      <c r="E23" s="45" t="n">
        <v>-0.0974850683</v>
      </c>
      <c r="F23" s="45" t="n">
        <v>0</v>
      </c>
      <c r="G23" s="48" t="n">
        <f aca="false">B23+C23-D23+E23+F23</f>
        <v>38.6667663198</v>
      </c>
      <c r="H23" s="45" t="n">
        <f aca="false">-C23+D23-E23</f>
        <v>3.2928960337</v>
      </c>
    </row>
    <row r="24" customFormat="false" ht="15" hidden="false" customHeight="false" outlineLevel="0" collapsed="false">
      <c r="A24" s="25" t="s">
        <v>131</v>
      </c>
      <c r="B24" s="60" t="n">
        <f aca="false">G23</f>
        <v>38.6667663198</v>
      </c>
      <c r="C24" s="43" t="n">
        <v>-3.6564695965</v>
      </c>
      <c r="D24" s="43" t="n">
        <v>0.17832</v>
      </c>
      <c r="E24" s="43" t="n">
        <v>-0.2533921717</v>
      </c>
      <c r="F24" s="43" t="n">
        <v>0</v>
      </c>
      <c r="G24" s="60" t="n">
        <f aca="false">B24+C24-D24+E24+F24</f>
        <v>34.5785845516</v>
      </c>
      <c r="H24" s="43" t="n">
        <f aca="false">-C24+D24-E24</f>
        <v>4.0881817682</v>
      </c>
    </row>
    <row r="25" customFormat="false" ht="15" hidden="false" customHeight="false" outlineLevel="0" collapsed="false">
      <c r="A25" s="28" t="s">
        <v>132</v>
      </c>
      <c r="B25" s="48" t="n">
        <f aca="false">G24</f>
        <v>34.5785845516</v>
      </c>
      <c r="C25" s="45" t="n">
        <v>-3.4396046654</v>
      </c>
      <c r="D25" s="45" t="n">
        <v>0.04024</v>
      </c>
      <c r="E25" s="45" t="n">
        <v>-0.1675741068</v>
      </c>
      <c r="F25" s="45" t="n">
        <v>0</v>
      </c>
      <c r="G25" s="48" t="n">
        <f aca="false">B25+C25-D25+E25+F25</f>
        <v>30.9311657794</v>
      </c>
      <c r="H25" s="45" t="n">
        <f aca="false">-C25+D25-E25</f>
        <v>3.6474187722</v>
      </c>
    </row>
    <row r="26" customFormat="false" ht="15" hidden="false" customHeight="false" outlineLevel="0" collapsed="false">
      <c r="A26" s="25" t="s">
        <v>133</v>
      </c>
      <c r="B26" s="60" t="n">
        <f aca="false">G25</f>
        <v>30.9311657794</v>
      </c>
      <c r="C26" s="43" t="n">
        <v>-3.6187331938</v>
      </c>
      <c r="D26" s="43" t="n">
        <v>0.04248</v>
      </c>
      <c r="E26" s="43" t="n">
        <v>-0.2012728279</v>
      </c>
      <c r="F26" s="43" t="n">
        <v>0</v>
      </c>
      <c r="G26" s="60" t="n">
        <f aca="false">B26+C26-D26+E26+F26</f>
        <v>27.0686797577</v>
      </c>
      <c r="H26" s="43" t="n">
        <f aca="false">-C26+D26-E26</f>
        <v>3.8624860217</v>
      </c>
    </row>
    <row r="27" customFormat="false" ht="15" hidden="false" customHeight="false" outlineLevel="0" collapsed="false">
      <c r="A27" s="28" t="s">
        <v>134</v>
      </c>
      <c r="B27" s="48" t="n">
        <f aca="false">G26</f>
        <v>27.0686797577</v>
      </c>
      <c r="C27" s="45" t="n">
        <v>-4.0867925662</v>
      </c>
      <c r="D27" s="45" t="n">
        <v>0.04472</v>
      </c>
      <c r="E27" s="45" t="n">
        <v>-0.2406381599</v>
      </c>
      <c r="F27" s="45" t="n">
        <v>0</v>
      </c>
      <c r="G27" s="48" t="n">
        <f aca="false">B27+C27-D27+E27+F27</f>
        <v>22.6965290316</v>
      </c>
      <c r="H27" s="45" t="n">
        <f aca="false">-C27+D27-E27</f>
        <v>4.3721507261</v>
      </c>
    </row>
    <row r="28" customFormat="false" ht="15" hidden="false" customHeight="false" outlineLevel="0" collapsed="false">
      <c r="A28" s="25" t="s">
        <v>135</v>
      </c>
      <c r="B28" s="60" t="n">
        <f aca="false">G27</f>
        <v>22.6965290316</v>
      </c>
      <c r="C28" s="43" t="n">
        <v>-3.9107244048</v>
      </c>
      <c r="D28" s="43" t="n">
        <v>0.04664</v>
      </c>
      <c r="E28" s="43" t="n">
        <v>-0.281182975</v>
      </c>
      <c r="F28" s="43" t="n">
        <v>0</v>
      </c>
      <c r="G28" s="60" t="n">
        <f aca="false">B28+C28-D28+E28+F28</f>
        <v>18.4579816518</v>
      </c>
      <c r="H28" s="43" t="n">
        <f aca="false">-C28+D28-E28</f>
        <v>4.2385473798</v>
      </c>
    </row>
    <row r="29" customFormat="false" ht="15" hidden="false" customHeight="false" outlineLevel="0" collapsed="false">
      <c r="A29" s="28" t="s">
        <v>136</v>
      </c>
      <c r="B29" s="48" t="n">
        <f aca="false">G28</f>
        <v>18.4579816518</v>
      </c>
      <c r="C29" s="45" t="n">
        <v>-4.0019214633</v>
      </c>
      <c r="D29" s="45" t="n">
        <v>0.04824</v>
      </c>
      <c r="E29" s="45" t="n">
        <v>-0.2757245335</v>
      </c>
      <c r="F29" s="45" t="n">
        <v>0</v>
      </c>
      <c r="G29" s="48" t="n">
        <f aca="false">B29+C29-D29+E29+F29</f>
        <v>14.132095655</v>
      </c>
      <c r="H29" s="45" t="n">
        <f aca="false">-C29+D29-E29</f>
        <v>4.3258859968</v>
      </c>
    </row>
    <row r="30" customFormat="false" ht="15" hidden="false" customHeight="false" outlineLevel="0" collapsed="false">
      <c r="A30" s="84" t="s">
        <v>137</v>
      </c>
      <c r="B30" s="85" t="n">
        <f aca="false">G29</f>
        <v>14.132095655</v>
      </c>
      <c r="C30" s="86" t="n">
        <v>-4.6835941516</v>
      </c>
      <c r="D30" s="86" t="n">
        <v>0.05016</v>
      </c>
      <c r="E30" s="86" t="n">
        <v>-0.3459766118</v>
      </c>
      <c r="F30" s="86" t="n">
        <v>72</v>
      </c>
      <c r="G30" s="85" t="n">
        <f aca="false">B30+C30-D30+E30+F30</f>
        <v>81.0523648916</v>
      </c>
      <c r="H30" s="86" t="n">
        <f aca="false">-C30+D30-E30</f>
        <v>5.0797307634</v>
      </c>
      <c r="I30" s="87" t="s">
        <v>484</v>
      </c>
    </row>
    <row r="31" customFormat="false" ht="15" hidden="false" customHeight="false" outlineLevel="0" collapsed="false">
      <c r="A31" s="28" t="s">
        <v>138</v>
      </c>
      <c r="B31" s="48" t="n">
        <f aca="false">G30</f>
        <v>81.0523648916</v>
      </c>
      <c r="C31" s="45" t="n">
        <v>-4.3477122652</v>
      </c>
      <c r="D31" s="45" t="n">
        <v>0.05208</v>
      </c>
      <c r="E31" s="45" t="n">
        <v>-0.369138783</v>
      </c>
      <c r="F31" s="45" t="n">
        <v>0</v>
      </c>
      <c r="G31" s="48" t="n">
        <f aca="false">B31+C31-D31+E31+F31</f>
        <v>76.2834338434</v>
      </c>
      <c r="H31" s="45" t="n">
        <f aca="false">-C31+D31-E31</f>
        <v>4.7689310482</v>
      </c>
    </row>
    <row r="32" customFormat="false" ht="15" hidden="false" customHeight="false" outlineLevel="0" collapsed="false">
      <c r="A32" s="25" t="s">
        <v>139</v>
      </c>
      <c r="B32" s="60" t="n">
        <f aca="false">G31</f>
        <v>76.2834338434</v>
      </c>
      <c r="C32" s="43" t="n">
        <v>-4.4671087693</v>
      </c>
      <c r="D32" s="43" t="n">
        <v>0.05432</v>
      </c>
      <c r="E32" s="43" t="n">
        <v>-0.3947779555</v>
      </c>
      <c r="F32" s="43" t="n">
        <v>0</v>
      </c>
      <c r="G32" s="60" t="n">
        <f aca="false">B32+C32-D32+E32+F32</f>
        <v>71.3672271186</v>
      </c>
      <c r="H32" s="43" t="n">
        <f aca="false">-C32+D32-E32</f>
        <v>4.9162067248</v>
      </c>
    </row>
    <row r="33" customFormat="false" ht="15" hidden="false" customHeight="false" outlineLevel="0" collapsed="false">
      <c r="A33" s="28" t="s">
        <v>140</v>
      </c>
      <c r="B33" s="48" t="n">
        <f aca="false">G32</f>
        <v>71.3672271186</v>
      </c>
      <c r="C33" s="45" t="n">
        <v>-5.2838190942</v>
      </c>
      <c r="D33" s="45" t="n">
        <v>0.05624</v>
      </c>
      <c r="E33" s="45" t="n">
        <v>-0.4442492663</v>
      </c>
      <c r="F33" s="45" t="n">
        <v>0</v>
      </c>
      <c r="G33" s="48" t="n">
        <f aca="false">B33+C33-D33+E33+F33</f>
        <v>65.5829187581</v>
      </c>
      <c r="H33" s="45" t="n">
        <f aca="false">-C33+D33-E33</f>
        <v>5.7843083605</v>
      </c>
    </row>
    <row r="34" customFormat="false" ht="15" hidden="false" customHeight="false" outlineLevel="0" collapsed="false">
      <c r="A34" s="25" t="s">
        <v>141</v>
      </c>
      <c r="B34" s="60" t="n">
        <f aca="false">G33</f>
        <v>65.5829187581</v>
      </c>
      <c r="C34" s="43" t="n">
        <v>-4.5938846551</v>
      </c>
      <c r="D34" s="43" t="n">
        <v>0.05848</v>
      </c>
      <c r="E34" s="43" t="n">
        <v>-0.4996485003</v>
      </c>
      <c r="F34" s="43" t="n">
        <v>0</v>
      </c>
      <c r="G34" s="60" t="n">
        <f aca="false">B34+C34-D34+E34+F34</f>
        <v>60.4309056027</v>
      </c>
      <c r="H34" s="43" t="n">
        <f aca="false">-C34+D34-E34</f>
        <v>5.1520131554</v>
      </c>
    </row>
    <row r="35" customFormat="false" ht="15" hidden="false" customHeight="false" outlineLevel="0" collapsed="false">
      <c r="A35" s="28" t="s">
        <v>142</v>
      </c>
      <c r="B35" s="48" t="n">
        <f aca="false">G34</f>
        <v>60.4309056027</v>
      </c>
      <c r="C35" s="45" t="n">
        <v>-4.6428034152</v>
      </c>
      <c r="D35" s="45" t="n">
        <v>0.0604</v>
      </c>
      <c r="E35" s="45" t="n">
        <v>-0.4978763848</v>
      </c>
      <c r="F35" s="45" t="n">
        <v>0</v>
      </c>
      <c r="G35" s="48" t="n">
        <f aca="false">B35+C35-D35+E35+F35</f>
        <v>55.2298258027</v>
      </c>
      <c r="H35" s="45" t="n">
        <f aca="false">-C35+D35-E35</f>
        <v>5.2010798</v>
      </c>
    </row>
    <row r="36" customFormat="false" ht="15" hidden="false" customHeight="false" outlineLevel="0" collapsed="false">
      <c r="A36" s="25" t="s">
        <v>143</v>
      </c>
      <c r="B36" s="60" t="n">
        <f aca="false">G35</f>
        <v>55.2298258027</v>
      </c>
      <c r="C36" s="43" t="n">
        <v>-5.1387535004</v>
      </c>
      <c r="D36" s="43" t="n">
        <v>0.20232</v>
      </c>
      <c r="E36" s="43" t="n">
        <v>-0.5915589246</v>
      </c>
      <c r="F36" s="43" t="n">
        <v>0</v>
      </c>
      <c r="G36" s="60" t="n">
        <f aca="false">B36+C36-D36+E36+F36</f>
        <v>49.2971933777</v>
      </c>
      <c r="H36" s="43" t="n">
        <f aca="false">-C36+D36-E36</f>
        <v>5.932632425</v>
      </c>
    </row>
    <row r="37" customFormat="false" ht="15" hidden="false" customHeight="false" outlineLevel="0" collapsed="false">
      <c r="A37" s="28" t="s">
        <v>144</v>
      </c>
      <c r="B37" s="48" t="n">
        <f aca="false">G36</f>
        <v>49.2971933777</v>
      </c>
      <c r="C37" s="45" t="n">
        <v>-4.6153359649</v>
      </c>
      <c r="D37" s="45" t="n">
        <v>0.06424</v>
      </c>
      <c r="E37" s="45" t="n">
        <v>-0.6812969092</v>
      </c>
      <c r="F37" s="45" t="n">
        <v>0</v>
      </c>
      <c r="G37" s="48" t="n">
        <f aca="false">B37+C37-D37+E37+F37</f>
        <v>43.9363205036</v>
      </c>
      <c r="H37" s="45" t="n">
        <f aca="false">-C37+D37-E37</f>
        <v>5.3608728741</v>
      </c>
    </row>
    <row r="38" customFormat="false" ht="15" hidden="false" customHeight="false" outlineLevel="0" collapsed="false">
      <c r="A38" s="25" t="s">
        <v>145</v>
      </c>
      <c r="B38" s="60" t="n">
        <f aca="false">G37</f>
        <v>43.9363205036</v>
      </c>
      <c r="C38" s="43" t="n">
        <v>-4.521742411</v>
      </c>
      <c r="D38" s="43" t="n">
        <v>0.06584</v>
      </c>
      <c r="E38" s="43" t="n">
        <v>-0.7613530655</v>
      </c>
      <c r="F38" s="43" t="n">
        <v>0</v>
      </c>
      <c r="G38" s="60" t="n">
        <f aca="false">B38+C38-D38+E38+F38</f>
        <v>38.5873850271</v>
      </c>
      <c r="H38" s="43" t="n">
        <f aca="false">-C38+D38-E38</f>
        <v>5.3489354765</v>
      </c>
    </row>
    <row r="39" customFormat="false" ht="15" hidden="false" customHeight="false" outlineLevel="0" collapsed="false">
      <c r="A39" s="84" t="s">
        <v>146</v>
      </c>
      <c r="B39" s="85" t="n">
        <f aca="false">G38</f>
        <v>38.5873850271</v>
      </c>
      <c r="C39" s="86" t="n">
        <v>-5.1672947046</v>
      </c>
      <c r="D39" s="86" t="n">
        <v>0.0684</v>
      </c>
      <c r="E39" s="86" t="n">
        <v>-1.4272538862</v>
      </c>
      <c r="F39" s="86" t="n">
        <v>45</v>
      </c>
      <c r="G39" s="85" t="n">
        <f aca="false">B39+C39-D39+E39+F39</f>
        <v>76.9244364363</v>
      </c>
      <c r="H39" s="86" t="n">
        <f aca="false">-C39+D39-E39</f>
        <v>6.6629485908</v>
      </c>
      <c r="I39" s="87" t="s">
        <v>485</v>
      </c>
    </row>
    <row r="40" customFormat="false" ht="15" hidden="false" customHeight="false" outlineLevel="0" collapsed="false">
      <c r="A40" s="25" t="s">
        <v>147</v>
      </c>
      <c r="B40" s="60" t="n">
        <f aca="false">G39</f>
        <v>76.9244364363</v>
      </c>
      <c r="C40" s="43" t="n">
        <v>-4.0368765618</v>
      </c>
      <c r="D40" s="43" t="n">
        <v>0.07032</v>
      </c>
      <c r="E40" s="43" t="n">
        <v>-1.5227914221</v>
      </c>
      <c r="F40" s="43" t="n">
        <v>0</v>
      </c>
      <c r="G40" s="60" t="n">
        <f aca="false">B40+C40-D40+E40+F40</f>
        <v>71.2944484524</v>
      </c>
      <c r="H40" s="43" t="n">
        <f aca="false">-C40+D40-E40</f>
        <v>5.6299879839</v>
      </c>
    </row>
    <row r="41" customFormat="false" ht="15" hidden="false" customHeight="false" outlineLevel="0" collapsed="false">
      <c r="A41" s="28" t="s">
        <v>148</v>
      </c>
      <c r="B41" s="48" t="n">
        <f aca="false">G40</f>
        <v>71.2944484524</v>
      </c>
      <c r="C41" s="45" t="n">
        <v>-3.8683712289</v>
      </c>
      <c r="D41" s="45" t="n">
        <v>0.07192</v>
      </c>
      <c r="E41" s="45" t="n">
        <v>-0.9206646394</v>
      </c>
      <c r="F41" s="45" t="n">
        <v>0</v>
      </c>
      <c r="G41" s="48" t="n">
        <f aca="false">B41+C41-D41+E41+F41</f>
        <v>66.4334925841</v>
      </c>
      <c r="H41" s="45" t="n">
        <f aca="false">-C41+D41-E41</f>
        <v>4.8609558683</v>
      </c>
    </row>
    <row r="42" customFormat="false" ht="15" hidden="false" customHeight="false" outlineLevel="0" collapsed="false">
      <c r="A42" s="25" t="s">
        <v>149</v>
      </c>
      <c r="B42" s="60" t="n">
        <f aca="false">G41</f>
        <v>66.4334925841</v>
      </c>
      <c r="C42" s="43" t="n">
        <v>-4.3341625421</v>
      </c>
      <c r="D42" s="43" t="n">
        <v>0.07384</v>
      </c>
      <c r="E42" s="43" t="n">
        <v>-1.0214646916</v>
      </c>
      <c r="F42" s="43" t="n">
        <v>0</v>
      </c>
      <c r="G42" s="60" t="n">
        <f aca="false">B42+C42-D42+E42+F42</f>
        <v>61.0040253504</v>
      </c>
      <c r="H42" s="43" t="n">
        <f aca="false">-C42+D42-E42</f>
        <v>5.4294672337</v>
      </c>
    </row>
    <row r="43" customFormat="false" ht="15" hidden="false" customHeight="false" outlineLevel="0" collapsed="false">
      <c r="A43" s="28" t="s">
        <v>150</v>
      </c>
      <c r="B43" s="48" t="n">
        <f aca="false">G42</f>
        <v>61.0040253504</v>
      </c>
      <c r="C43" s="45" t="n">
        <v>-3.3341515138</v>
      </c>
      <c r="D43" s="45" t="n">
        <v>0.07576</v>
      </c>
      <c r="E43" s="45" t="n">
        <v>-1.710232535</v>
      </c>
      <c r="F43" s="45" t="n">
        <v>0</v>
      </c>
      <c r="G43" s="48" t="n">
        <f aca="false">B43+C43-D43+E43+F43</f>
        <v>55.8838813016</v>
      </c>
      <c r="H43" s="45" t="n">
        <f aca="false">-C43+D43-E43</f>
        <v>5.1201440488</v>
      </c>
    </row>
    <row r="44" customFormat="false" ht="15" hidden="false" customHeight="false" outlineLevel="0" collapsed="false">
      <c r="A44" s="25" t="s">
        <v>151</v>
      </c>
      <c r="B44" s="60" t="n">
        <f aca="false">G43</f>
        <v>55.8838813016</v>
      </c>
      <c r="C44" s="43" t="n">
        <v>-3.1859574116</v>
      </c>
      <c r="D44" s="43" t="n">
        <v>0.07832</v>
      </c>
      <c r="E44" s="43" t="n">
        <v>-1.1421147506</v>
      </c>
      <c r="F44" s="43" t="n">
        <v>0</v>
      </c>
      <c r="G44" s="60" t="n">
        <f aca="false">B44+C44-D44+E44+F44</f>
        <v>51.4774891394</v>
      </c>
      <c r="H44" s="43" t="n">
        <f aca="false">-C44+D44-E44</f>
        <v>4.4063921622</v>
      </c>
    </row>
    <row r="45" customFormat="false" ht="15" hidden="false" customHeight="false" outlineLevel="0" collapsed="false">
      <c r="A45" s="28" t="s">
        <v>152</v>
      </c>
      <c r="B45" s="48" t="n">
        <f aca="false">G44</f>
        <v>51.4774891394</v>
      </c>
      <c r="C45" s="45" t="n">
        <v>-3.8842952017</v>
      </c>
      <c r="D45" s="45" t="n">
        <v>0.07992</v>
      </c>
      <c r="E45" s="45" t="n">
        <v>-1.2501050339</v>
      </c>
      <c r="F45" s="45" t="n">
        <v>0</v>
      </c>
      <c r="G45" s="48" t="n">
        <f aca="false">B45+C45-D45+E45+F45</f>
        <v>46.2631689038</v>
      </c>
      <c r="H45" s="45" t="n">
        <f aca="false">-C45+D45-E45</f>
        <v>5.2143202356</v>
      </c>
    </row>
    <row r="46" customFormat="false" ht="15" hidden="false" customHeight="false" outlineLevel="0" collapsed="false">
      <c r="A46" s="25" t="s">
        <v>153</v>
      </c>
      <c r="B46" s="60" t="n">
        <f aca="false">G45</f>
        <v>46.2631689038</v>
      </c>
      <c r="C46" s="43" t="n">
        <v>-2.3510753666</v>
      </c>
      <c r="D46" s="43" t="n">
        <v>0.08184</v>
      </c>
      <c r="E46" s="43" t="n">
        <v>-1.9081430578</v>
      </c>
      <c r="F46" s="43" t="n">
        <v>0</v>
      </c>
      <c r="G46" s="60" t="n">
        <f aca="false">B46+C46-D46+E46+F46</f>
        <v>41.9221104794</v>
      </c>
      <c r="H46" s="43" t="n">
        <f aca="false">-C46+D46-E46</f>
        <v>4.3410584244</v>
      </c>
    </row>
    <row r="47" customFormat="false" ht="15" hidden="false" customHeight="false" outlineLevel="0" collapsed="false">
      <c r="A47" s="28" t="s">
        <v>154</v>
      </c>
      <c r="B47" s="48" t="n">
        <f aca="false">G46</f>
        <v>41.9221104794</v>
      </c>
      <c r="C47" s="45" t="n">
        <v>-2.0431594158</v>
      </c>
      <c r="D47" s="45" t="n">
        <v>0.08376</v>
      </c>
      <c r="E47" s="45" t="n">
        <v>-1.3837637042</v>
      </c>
      <c r="F47" s="45" t="n">
        <v>0</v>
      </c>
      <c r="G47" s="48" t="n">
        <f aca="false">B47+C47-D47+E47+F47</f>
        <v>38.4114273594</v>
      </c>
      <c r="H47" s="45" t="n">
        <f aca="false">-C47+D47-E47</f>
        <v>3.51068312</v>
      </c>
    </row>
    <row r="48" customFormat="false" ht="15" hidden="false" customHeight="false" outlineLevel="0" collapsed="false">
      <c r="A48" s="25" t="s">
        <v>155</v>
      </c>
      <c r="B48" s="60" t="n">
        <f aca="false">G47</f>
        <v>38.4114273594</v>
      </c>
      <c r="C48" s="43" t="n">
        <v>-2.4025569376</v>
      </c>
      <c r="D48" s="43" t="n">
        <v>0.22504</v>
      </c>
      <c r="E48" s="43" t="n">
        <v>-1.5635363796</v>
      </c>
      <c r="F48" s="43" t="n">
        <v>0</v>
      </c>
      <c r="G48" s="60" t="n">
        <f aca="false">B48+C48-D48+E48+F48</f>
        <v>34.2202940422</v>
      </c>
      <c r="H48" s="43" t="n">
        <f aca="false">-C48+D48-E48</f>
        <v>4.1911333172</v>
      </c>
    </row>
    <row r="49" customFormat="false" ht="15" hidden="false" customHeight="false" outlineLevel="0" collapsed="false">
      <c r="A49" s="28" t="s">
        <v>156</v>
      </c>
      <c r="B49" s="48" t="n">
        <f aca="false">G48</f>
        <v>34.2202940422</v>
      </c>
      <c r="C49" s="45" t="n">
        <v>-1.1286112632</v>
      </c>
      <c r="D49" s="45" t="n">
        <v>0.08696</v>
      </c>
      <c r="E49" s="45" t="n">
        <v>-2.1258106866</v>
      </c>
      <c r="F49" s="45" t="n">
        <v>0</v>
      </c>
      <c r="G49" s="48" t="n">
        <f aca="false">B49+C49-D49+E49+F49</f>
        <v>30.8789120924</v>
      </c>
      <c r="H49" s="45" t="n">
        <f aca="false">-C49+D49-E49</f>
        <v>3.3413819498</v>
      </c>
    </row>
    <row r="50" customFormat="false" ht="15" hidden="false" customHeight="false" outlineLevel="0" collapsed="false">
      <c r="A50" s="25" t="s">
        <v>157</v>
      </c>
      <c r="B50" s="60" t="n">
        <f aca="false">G49</f>
        <v>30.8789120924</v>
      </c>
      <c r="C50" s="43" t="n">
        <v>-0.704154461</v>
      </c>
      <c r="D50" s="43" t="n">
        <v>0.08856</v>
      </c>
      <c r="E50" s="43" t="n">
        <v>-1.5922144276</v>
      </c>
      <c r="F50" s="43" t="n">
        <v>0</v>
      </c>
      <c r="G50" s="60" t="n">
        <f aca="false">B50+C50-D50+E50+F50</f>
        <v>28.4939832038</v>
      </c>
      <c r="H50" s="43" t="n">
        <f aca="false">-C50+D50-E50</f>
        <v>2.3849288886</v>
      </c>
    </row>
    <row r="51" customFormat="false" ht="15" hidden="false" customHeight="false" outlineLevel="0" collapsed="false">
      <c r="A51" s="28" t="s">
        <v>158</v>
      </c>
      <c r="B51" s="48" t="n">
        <f aca="false">G50</f>
        <v>28.4939832038</v>
      </c>
      <c r="C51" s="45" t="n">
        <v>-0.8414849411</v>
      </c>
      <c r="D51" s="45" t="n">
        <v>0.0908</v>
      </c>
      <c r="E51" s="45" t="n">
        <v>-2.3815511063</v>
      </c>
      <c r="F51" s="45" t="n">
        <v>0</v>
      </c>
      <c r="G51" s="48" t="n">
        <f aca="false">B51+C51-D51+E51+F51</f>
        <v>25.1801471564</v>
      </c>
      <c r="H51" s="45" t="n">
        <f aca="false">-C51+D51-E51</f>
        <v>3.3138360474</v>
      </c>
    </row>
    <row r="52" customFormat="false" ht="15" hidden="false" customHeight="false" outlineLevel="0" collapsed="false">
      <c r="A52" s="25" t="s">
        <v>159</v>
      </c>
      <c r="B52" s="60" t="n">
        <f aca="false">G51</f>
        <v>25.1801471564</v>
      </c>
      <c r="C52" s="43" t="n">
        <v>0.6107039437</v>
      </c>
      <c r="D52" s="43" t="n">
        <v>0.09144</v>
      </c>
      <c r="E52" s="43" t="n">
        <v>-1.7966315156</v>
      </c>
      <c r="F52" s="43" t="n">
        <v>0</v>
      </c>
      <c r="G52" s="60" t="n">
        <f aca="false">B52+C52-D52+E52+F52</f>
        <v>23.9027795845</v>
      </c>
      <c r="H52" s="43" t="n">
        <f aca="false">-C52+D52-E52</f>
        <v>1.2773675719</v>
      </c>
    </row>
    <row r="53" customFormat="false" ht="15" hidden="false" customHeight="false" outlineLevel="0" collapsed="false">
      <c r="A53" s="28" t="s">
        <v>160</v>
      </c>
      <c r="B53" s="48" t="n">
        <f aca="false">G52</f>
        <v>23.9027795845</v>
      </c>
      <c r="C53" s="45" t="n">
        <v>1.3108593859</v>
      </c>
      <c r="D53" s="45" t="n">
        <v>0.094</v>
      </c>
      <c r="E53" s="45" t="n">
        <v>-2.5396434084</v>
      </c>
      <c r="F53" s="45" t="n">
        <v>0</v>
      </c>
      <c r="G53" s="48" t="n">
        <f aca="false">B53+C53-D53+E53+F53</f>
        <v>22.579995562</v>
      </c>
      <c r="H53" s="45" t="n">
        <f aca="false">-C53+D53-E53</f>
        <v>1.3227840225</v>
      </c>
    </row>
    <row r="54" customFormat="false" ht="15" hidden="false" customHeight="false" outlineLevel="0" collapsed="false">
      <c r="A54" s="25" t="s">
        <v>161</v>
      </c>
      <c r="B54" s="60" t="n">
        <f aca="false">G53</f>
        <v>22.579995562</v>
      </c>
      <c r="C54" s="43" t="n">
        <v>1.4526125606</v>
      </c>
      <c r="D54" s="43" t="n">
        <v>0.09592</v>
      </c>
      <c r="E54" s="43" t="n">
        <v>-2.7646388328</v>
      </c>
      <c r="F54" s="43" t="n">
        <v>0</v>
      </c>
      <c r="G54" s="60" t="n">
        <f aca="false">B54+C54-D54+E54+F54</f>
        <v>21.1720492898</v>
      </c>
      <c r="H54" s="43" t="n">
        <f aca="false">-C54+D54-E54</f>
        <v>1.4079462722</v>
      </c>
    </row>
    <row r="55" customFormat="false" ht="15" hidden="false" customHeight="false" outlineLevel="0" collapsed="false">
      <c r="A55" s="28" t="s">
        <v>162</v>
      </c>
      <c r="B55" s="48" t="n">
        <f aca="false">G54</f>
        <v>21.1720492898</v>
      </c>
      <c r="C55" s="45" t="n">
        <v>2.9803028103</v>
      </c>
      <c r="D55" s="45" t="n">
        <v>0.09656</v>
      </c>
      <c r="E55" s="45" t="n">
        <v>-2.1798646199</v>
      </c>
      <c r="F55" s="45" t="n">
        <v>0</v>
      </c>
      <c r="G55" s="48" t="n">
        <f aca="false">B55+C55-D55+E55+F55</f>
        <v>21.8759274802</v>
      </c>
      <c r="H55" s="45" t="n">
        <f aca="false">-C55+D55-E55</f>
        <v>-0.7038781904</v>
      </c>
    </row>
    <row r="56" customFormat="false" ht="15" hidden="false" customHeight="false" outlineLevel="0" collapsed="false">
      <c r="A56" s="25" t="s">
        <v>163</v>
      </c>
      <c r="B56" s="60" t="n">
        <f aca="false">G55</f>
        <v>21.8759274802</v>
      </c>
      <c r="C56" s="43" t="n">
        <v>3.8964588593</v>
      </c>
      <c r="D56" s="43" t="n">
        <v>0.0988</v>
      </c>
      <c r="E56" s="43" t="n">
        <v>-2.950092699</v>
      </c>
      <c r="F56" s="43" t="n">
        <v>0</v>
      </c>
      <c r="G56" s="60" t="n">
        <f aca="false">B56+C56-D56+E56+F56</f>
        <v>22.7234936405</v>
      </c>
      <c r="H56" s="43" t="n">
        <f aca="false">-C56+D56-E56</f>
        <v>-0.8475661603</v>
      </c>
    </row>
    <row r="57" customFormat="false" ht="15" hidden="false" customHeight="false" outlineLevel="0" collapsed="false">
      <c r="A57" s="28" t="s">
        <v>164</v>
      </c>
      <c r="B57" s="48" t="n">
        <f aca="false">G56</f>
        <v>22.7234936405</v>
      </c>
      <c r="C57" s="45" t="n">
        <v>4.4881772274</v>
      </c>
      <c r="D57" s="45" t="n">
        <v>0.1004</v>
      </c>
      <c r="E57" s="45" t="n">
        <v>-3.257222515</v>
      </c>
      <c r="F57" s="45" t="n">
        <v>0</v>
      </c>
      <c r="G57" s="48" t="n">
        <f aca="false">B57+C57-D57+E57+F57</f>
        <v>23.8540483529</v>
      </c>
      <c r="H57" s="45" t="n">
        <f aca="false">-C57+D57-E57</f>
        <v>-1.1305547124</v>
      </c>
    </row>
    <row r="58" customFormat="false" ht="15" hidden="false" customHeight="false" outlineLevel="0" collapsed="false">
      <c r="A58" s="25" t="s">
        <v>165</v>
      </c>
      <c r="B58" s="60" t="n">
        <f aca="false">G57</f>
        <v>23.8540483529</v>
      </c>
      <c r="C58" s="43" t="n">
        <v>5.8314759344</v>
      </c>
      <c r="D58" s="43" t="n">
        <v>0.10232</v>
      </c>
      <c r="E58" s="43" t="n">
        <v>-2.6753674593</v>
      </c>
      <c r="F58" s="43" t="n">
        <v>0</v>
      </c>
      <c r="G58" s="60" t="n">
        <f aca="false">B58+C58-D58+E58+F58</f>
        <v>26.907836828</v>
      </c>
      <c r="H58" s="43" t="n">
        <f aca="false">-C58+D58-E58</f>
        <v>-3.0537884751</v>
      </c>
    </row>
    <row r="59" customFormat="false" ht="15" hidden="false" customHeight="false" outlineLevel="0" collapsed="false">
      <c r="A59" s="28" t="s">
        <v>166</v>
      </c>
      <c r="B59" s="48" t="n">
        <f aca="false">G58</f>
        <v>26.907836828</v>
      </c>
      <c r="C59" s="45" t="n">
        <v>7.0821679218</v>
      </c>
      <c r="D59" s="45" t="n">
        <v>0.1036</v>
      </c>
      <c r="E59" s="45" t="n">
        <v>-3.4769083863</v>
      </c>
      <c r="F59" s="45" t="n">
        <v>0</v>
      </c>
      <c r="G59" s="48" t="n">
        <f aca="false">B59+C59-D59+E59+F59</f>
        <v>30.4094963635</v>
      </c>
      <c r="H59" s="45" t="n">
        <f aca="false">-C59+D59-E59</f>
        <v>-3.5016595355</v>
      </c>
    </row>
    <row r="60" customFormat="false" ht="15" hidden="false" customHeight="false" outlineLevel="0" collapsed="false">
      <c r="A60" s="38" t="s">
        <v>389</v>
      </c>
      <c r="B60" s="39"/>
      <c r="C60" s="46" t="n">
        <f aca="false">SUM(C6:C59)</f>
        <v>-105.8486689268</v>
      </c>
      <c r="D60" s="46" t="n">
        <f aca="false">SUM(D6:D59)</f>
        <v>3.54896</v>
      </c>
      <c r="E60" s="46" t="n">
        <f aca="false">SUM(E6:E59)</f>
        <v>-48.1928747097</v>
      </c>
      <c r="F60" s="46" t="n">
        <f aca="false">SUM(F6:F59)</f>
        <v>188</v>
      </c>
      <c r="G60" s="46" t="n">
        <f aca="false">G59</f>
        <v>30.4094963635</v>
      </c>
      <c r="H60" s="46" t="n">
        <f aca="false">SUM(H6:H59)</f>
        <v>157.5905036365</v>
      </c>
    </row>
    <row r="62" customFormat="false" ht="18.75" hidden="false" customHeight="true" outlineLevel="0" collapsed="false">
      <c r="A62" s="23" t="s">
        <v>486</v>
      </c>
      <c r="B62" s="23"/>
      <c r="C62" s="23"/>
      <c r="D62" s="23"/>
      <c r="E62" s="23"/>
      <c r="F62" s="23"/>
      <c r="G62" s="23"/>
      <c r="H62" s="23"/>
      <c r="I62" s="23"/>
    </row>
    <row r="63" customFormat="false" ht="16.5" hidden="false" customHeight="true" outlineLevel="0" collapsed="false">
      <c r="A63" s="11" t="s">
        <v>375</v>
      </c>
      <c r="B63" s="24" t="s">
        <v>208</v>
      </c>
      <c r="C63" s="24" t="s">
        <v>210</v>
      </c>
    </row>
    <row r="64" customFormat="false" ht="15" hidden="false" customHeight="false" outlineLevel="0" collapsed="false">
      <c r="A64" s="88" t="s">
        <v>203</v>
      </c>
      <c r="B64" s="60" t="n">
        <f aca="false">SUM(F6:F59)</f>
        <v>188</v>
      </c>
      <c r="C64" s="89" t="s">
        <v>487</v>
      </c>
      <c r="D64" s="89"/>
      <c r="E64" s="89"/>
      <c r="F64" s="89"/>
    </row>
    <row r="65" customFormat="false" ht="15" hidden="false" customHeight="false" outlineLevel="0" collapsed="false">
      <c r="A65" s="81" t="s">
        <v>204</v>
      </c>
      <c r="B65" s="48" t="n">
        <f aca="false">SUM(F6:F59)-F6</f>
        <v>180</v>
      </c>
      <c r="C65" s="22" t="s">
        <v>488</v>
      </c>
      <c r="D65" s="22"/>
      <c r="E65" s="22"/>
      <c r="F65" s="22"/>
    </row>
    <row r="66" customFormat="false" ht="15" hidden="false" customHeight="false" outlineLevel="0" collapsed="false">
      <c r="A66" s="88" t="s">
        <v>489</v>
      </c>
      <c r="B66" s="60" t="n">
        <f aca="false">G59</f>
        <v>30.4094963635</v>
      </c>
      <c r="C66" s="89" t="s">
        <v>490</v>
      </c>
      <c r="D66" s="89"/>
      <c r="E66" s="89"/>
      <c r="F66" s="89"/>
    </row>
    <row r="67" customFormat="false" ht="15" hidden="false" customHeight="false" outlineLevel="0" collapsed="false">
      <c r="A67" s="81" t="s">
        <v>491</v>
      </c>
      <c r="B67" s="48" t="n">
        <f aca="false">MIN(G6:G59)</f>
        <v>4.4465769128</v>
      </c>
      <c r="C67" s="22" t="s">
        <v>492</v>
      </c>
      <c r="D67" s="22"/>
      <c r="E67" s="22"/>
      <c r="F67" s="22"/>
    </row>
    <row r="68" customFormat="false" ht="15" hidden="false" customHeight="false" outlineLevel="0" collapsed="false">
      <c r="A68" s="88" t="s">
        <v>493</v>
      </c>
      <c r="B68" s="90" t="str">
        <f aca="false">INDEX(A6:A59,MATCH(MIN(G6:G59),G6:G59,0))</f>
        <v>Feb 2027</v>
      </c>
      <c r="C68" s="89" t="s">
        <v>494</v>
      </c>
      <c r="D68" s="89"/>
      <c r="E68" s="89"/>
      <c r="F68" s="89"/>
    </row>
    <row r="69" customFormat="false" ht="15" hidden="false" customHeight="false" outlineLevel="0" collapsed="false">
      <c r="A69" s="81" t="s">
        <v>495</v>
      </c>
      <c r="B69" s="48" t="n">
        <f aca="false">SUM(C6:C59)</f>
        <v>-105.8486689268</v>
      </c>
      <c r="C69" s="22" t="s">
        <v>496</v>
      </c>
      <c r="D69" s="22"/>
      <c r="E69" s="22"/>
      <c r="F69" s="22"/>
    </row>
    <row r="70" customFormat="false" ht="15" hidden="false" customHeight="false" outlineLevel="0" collapsed="false">
      <c r="A70" s="88" t="s">
        <v>497</v>
      </c>
      <c r="B70" s="60" t="n">
        <f aca="false">SUM(D6:D59)</f>
        <v>3.54896</v>
      </c>
      <c r="C70" s="89" t="s">
        <v>498</v>
      </c>
      <c r="D70" s="89"/>
      <c r="E70" s="89"/>
      <c r="F70" s="89"/>
    </row>
    <row r="71" customFormat="false" ht="15" hidden="false" customHeight="false" outlineLevel="0" collapsed="false">
      <c r="A71" s="81" t="s">
        <v>499</v>
      </c>
      <c r="B71" s="48" t="n">
        <f aca="false">MAX(H6:H59)</f>
        <v>6.6629485908</v>
      </c>
      <c r="C71" s="22" t="s">
        <v>500</v>
      </c>
      <c r="D71" s="22"/>
      <c r="E71" s="22"/>
      <c r="F71" s="22"/>
    </row>
    <row r="72" customFormat="false" ht="15" hidden="false" customHeight="false" outlineLevel="0" collapsed="false">
      <c r="A72" s="88" t="s">
        <v>501</v>
      </c>
      <c r="B72" s="90" t="str">
        <f aca="false">INDEX(A6:A59,MATCH(MAX(H6:H59),H6:H59,0))</f>
        <v>Jul 2029</v>
      </c>
      <c r="C72" s="89" t="s">
        <v>502</v>
      </c>
      <c r="D72" s="89"/>
      <c r="E72" s="89"/>
      <c r="F72" s="89"/>
    </row>
    <row r="73" customFormat="false" ht="15" hidden="false" customHeight="false" outlineLevel="0" collapsed="false">
      <c r="A73" s="81" t="s">
        <v>503</v>
      </c>
      <c r="B73" s="69" t="n">
        <v>54</v>
      </c>
      <c r="C73" s="22" t="s">
        <v>504</v>
      </c>
      <c r="D73" s="22"/>
      <c r="E73" s="22"/>
      <c r="F73" s="22"/>
    </row>
    <row r="74" customFormat="false" ht="15" hidden="false" customHeight="false" outlineLevel="0" collapsed="false">
      <c r="A74" s="15" t="s">
        <v>505</v>
      </c>
      <c r="B74" s="15"/>
      <c r="C74" s="15"/>
      <c r="D74" s="15"/>
      <c r="E74" s="15"/>
      <c r="F74" s="15"/>
      <c r="G74" s="15"/>
      <c r="H74" s="15"/>
      <c r="I74" s="15"/>
    </row>
    <row r="75" customFormat="false" ht="15" hidden="false" customHeight="false" outlineLevel="0" collapsed="false">
      <c r="A75" s="15" t="s">
        <v>506</v>
      </c>
      <c r="B75" s="15"/>
      <c r="C75" s="15"/>
      <c r="D75" s="15"/>
      <c r="E75" s="15"/>
      <c r="F75" s="15"/>
      <c r="G75" s="15"/>
      <c r="H75" s="15"/>
      <c r="I75" s="15"/>
    </row>
  </sheetData>
  <mergeCells count="16">
    <mergeCell ref="A1:I1"/>
    <mergeCell ref="A2:I2"/>
    <mergeCell ref="A3:I3"/>
    <mergeCell ref="A62:I62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A74:I74"/>
    <mergeCell ref="A75:I75"/>
  </mergeCells>
  <conditionalFormatting sqref="B6:I10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7"/>
    <col collapsed="false" customWidth="true" hidden="false" outlineLevel="0" max="7" min="6" style="0" width="19"/>
  </cols>
  <sheetData>
    <row r="1" customFormat="false" ht="30" hidden="false" customHeight="true" outlineLevel="0" collapsed="false">
      <c r="A1" s="20" t="s">
        <v>507</v>
      </c>
      <c r="B1" s="20"/>
      <c r="C1" s="20"/>
      <c r="D1" s="20"/>
      <c r="E1" s="20"/>
    </row>
    <row r="2" customFormat="false" ht="15.75" hidden="false" customHeight="true" outlineLevel="0" collapsed="false">
      <c r="A2" s="21" t="s">
        <v>508</v>
      </c>
      <c r="B2" s="21"/>
      <c r="C2" s="21"/>
      <c r="D2" s="21"/>
      <c r="E2" s="21"/>
    </row>
    <row r="3" customFormat="false" ht="13.5" hidden="false" customHeight="true" outlineLevel="0" collapsed="false">
      <c r="A3" s="22" t="s">
        <v>509</v>
      </c>
      <c r="B3" s="22"/>
      <c r="C3" s="22"/>
      <c r="D3" s="22"/>
      <c r="E3" s="22"/>
    </row>
    <row r="5" customFormat="false" ht="18.75" hidden="false" customHeight="true" outlineLevel="0" collapsed="false">
      <c r="A5" s="23" t="s">
        <v>510</v>
      </c>
      <c r="B5" s="23"/>
      <c r="C5" s="23"/>
      <c r="D5" s="23"/>
      <c r="E5" s="23"/>
    </row>
    <row r="6" customFormat="false" ht="16.5" hidden="false" customHeight="true" outlineLevel="0" collapsed="false">
      <c r="A6" s="11" t="s">
        <v>257</v>
      </c>
      <c r="B6" s="24" t="s">
        <v>511</v>
      </c>
      <c r="C6" s="24" t="s">
        <v>512</v>
      </c>
      <c r="D6" s="24" t="s">
        <v>513</v>
      </c>
      <c r="E6" s="24" t="s">
        <v>514</v>
      </c>
    </row>
    <row r="7" customFormat="false" ht="15" hidden="false" customHeight="false" outlineLevel="0" collapsed="false">
      <c r="A7" s="58" t="s">
        <v>258</v>
      </c>
      <c r="B7" s="43" t="n">
        <v>0.0144</v>
      </c>
      <c r="C7" s="43" t="n">
        <v>0.0144</v>
      </c>
      <c r="D7" s="43" t="n">
        <v>0.0144</v>
      </c>
      <c r="E7" s="43" t="n">
        <f aca="false">D7-C7</f>
        <v>0</v>
      </c>
    </row>
    <row r="8" customFormat="false" ht="15" hidden="false" customHeight="false" outlineLevel="0" collapsed="false">
      <c r="A8" s="41" t="s">
        <v>259</v>
      </c>
      <c r="B8" s="45" t="n">
        <v>1.8901324621</v>
      </c>
      <c r="C8" s="45" t="n">
        <v>0.5850309057</v>
      </c>
      <c r="D8" s="45" t="n">
        <v>2.5990322775</v>
      </c>
      <c r="E8" s="45" t="n">
        <f aca="false">D8-C8</f>
        <v>2.0140013718</v>
      </c>
    </row>
    <row r="9" customFormat="false" ht="15" hidden="false" customHeight="false" outlineLevel="0" collapsed="false">
      <c r="A9" s="58" t="s">
        <v>260</v>
      </c>
      <c r="B9" s="43" t="n">
        <v>18.0775314634</v>
      </c>
      <c r="C9" s="43" t="n">
        <v>4.9562305412</v>
      </c>
      <c r="D9" s="43" t="n">
        <v>26.3103807615</v>
      </c>
      <c r="E9" s="43" t="n">
        <f aca="false">D9-C9</f>
        <v>21.3541502203</v>
      </c>
    </row>
    <row r="10" customFormat="false" ht="15" hidden="false" customHeight="false" outlineLevel="0" collapsed="false">
      <c r="A10" s="41" t="s">
        <v>261</v>
      </c>
      <c r="B10" s="45" t="n">
        <v>81.1799878901</v>
      </c>
      <c r="C10" s="45" t="n">
        <v>22.9640297579</v>
      </c>
      <c r="D10" s="45" t="n">
        <v>120.3407816172</v>
      </c>
      <c r="E10" s="45" t="n">
        <f aca="false">D10-C10</f>
        <v>97.3767518593</v>
      </c>
    </row>
    <row r="11" customFormat="false" ht="15" hidden="false" customHeight="false" outlineLevel="0" collapsed="false">
      <c r="A11" s="58" t="s">
        <v>262</v>
      </c>
      <c r="B11" s="43" t="n">
        <v>230.3175544147</v>
      </c>
      <c r="C11" s="43" t="n">
        <v>75.3859168386</v>
      </c>
      <c r="D11" s="43" t="n">
        <v>343.8204476015</v>
      </c>
      <c r="E11" s="43" t="n">
        <f aca="false">D11-C11</f>
        <v>268.4345307629</v>
      </c>
    </row>
    <row r="12" customFormat="false" ht="15" hidden="false" customHeight="false" outlineLevel="0" collapsed="false">
      <c r="A12" s="38" t="s">
        <v>515</v>
      </c>
      <c r="B12" s="46" t="n">
        <f aca="false">SUM(B7:B11)</f>
        <v>331.4796062303</v>
      </c>
      <c r="C12" s="46" t="n">
        <f aca="false">SUM(C7:C11)</f>
        <v>103.9056080434</v>
      </c>
      <c r="D12" s="46" t="n">
        <f aca="false">SUM(D7:D11)</f>
        <v>493.0850422577</v>
      </c>
      <c r="E12" s="46" t="n">
        <f aca="false">SUM(E7:E11)</f>
        <v>389.1794342143</v>
      </c>
    </row>
    <row r="14" customFormat="false" ht="18.75" hidden="false" customHeight="true" outlineLevel="0" collapsed="false">
      <c r="A14" s="23" t="s">
        <v>516</v>
      </c>
      <c r="B14" s="23"/>
      <c r="C14" s="23"/>
      <c r="D14" s="23"/>
      <c r="E14" s="23"/>
    </row>
    <row r="15" customFormat="false" ht="16.5" hidden="false" customHeight="true" outlineLevel="0" collapsed="false">
      <c r="A15" s="11" t="s">
        <v>257</v>
      </c>
      <c r="B15" s="24" t="s">
        <v>511</v>
      </c>
      <c r="C15" s="24" t="s">
        <v>512</v>
      </c>
      <c r="D15" s="24" t="s">
        <v>513</v>
      </c>
      <c r="E15" s="24" t="s">
        <v>514</v>
      </c>
    </row>
    <row r="16" customFormat="false" ht="15" hidden="false" customHeight="false" outlineLevel="0" collapsed="false">
      <c r="A16" s="58" t="s">
        <v>258</v>
      </c>
      <c r="B16" s="43" t="n">
        <v>-4.4838725281</v>
      </c>
      <c r="C16" s="43" t="n">
        <v>-4.2007206211</v>
      </c>
      <c r="D16" s="43" t="n">
        <v>-4.6506749451</v>
      </c>
      <c r="E16" s="43" t="n">
        <f aca="false">D16-C16</f>
        <v>-0.449954323999999</v>
      </c>
    </row>
    <row r="17" customFormat="false" ht="15" hidden="false" customHeight="false" outlineLevel="0" collapsed="false">
      <c r="A17" s="41" t="s">
        <v>259</v>
      </c>
      <c r="B17" s="45" t="n">
        <v>-26.7264033752</v>
      </c>
      <c r="C17" s="45" t="n">
        <v>-26.5140961224</v>
      </c>
      <c r="D17" s="45" t="n">
        <v>-26.9611655316</v>
      </c>
      <c r="E17" s="45" t="n">
        <f aca="false">D17-C17</f>
        <v>-0.447069409199997</v>
      </c>
    </row>
    <row r="18" customFormat="false" ht="15" hidden="false" customHeight="false" outlineLevel="0" collapsed="false">
      <c r="A18" s="58" t="s">
        <v>260</v>
      </c>
      <c r="B18" s="43" t="n">
        <v>-50.7331682406</v>
      </c>
      <c r="C18" s="43" t="n">
        <v>-61.0200191406</v>
      </c>
      <c r="D18" s="43" t="n">
        <v>-44.4324852934</v>
      </c>
      <c r="E18" s="43" t="n">
        <f aca="false">D18-C18</f>
        <v>16.5875338472</v>
      </c>
    </row>
    <row r="19" customFormat="false" ht="15" hidden="false" customHeight="false" outlineLevel="0" collapsed="false">
      <c r="A19" s="41" t="s">
        <v>261</v>
      </c>
      <c r="B19" s="45" t="n">
        <v>-46.4811758231</v>
      </c>
      <c r="C19" s="45" t="n">
        <v>-100.5652640671</v>
      </c>
      <c r="D19" s="45" t="n">
        <v>-10.4387962701</v>
      </c>
      <c r="E19" s="45" t="n">
        <f aca="false">D19-C19</f>
        <v>90.126467797</v>
      </c>
    </row>
    <row r="20" customFormat="false" ht="15" hidden="false" customHeight="false" outlineLevel="0" collapsed="false">
      <c r="A20" s="58" t="s">
        <v>262</v>
      </c>
      <c r="B20" s="43" t="n">
        <v>22.5759510404</v>
      </c>
      <c r="C20" s="43" t="n">
        <v>-127.1649148893</v>
      </c>
      <c r="D20" s="43" t="n">
        <v>131.6386175777</v>
      </c>
      <c r="E20" s="43" t="n">
        <f aca="false">D20-C20</f>
        <v>258.803532467</v>
      </c>
    </row>
    <row r="21" customFormat="false" ht="15" hidden="false" customHeight="false" outlineLevel="0" collapsed="false">
      <c r="A21" s="38" t="s">
        <v>517</v>
      </c>
      <c r="B21" s="46" t="n">
        <f aca="false">SUM(B16:B20)</f>
        <v>-105.8486689266</v>
      </c>
      <c r="C21" s="46" t="n">
        <f aca="false">SUM(C16:C20)</f>
        <v>-319.4650148405</v>
      </c>
      <c r="D21" s="46" t="n">
        <f aca="false">SUM(D16:D20)</f>
        <v>45.1554955375</v>
      </c>
      <c r="E21" s="46" t="n">
        <f aca="false">SUM(E16:E20)</f>
        <v>364.620510378</v>
      </c>
    </row>
    <row r="23" customFormat="false" ht="18.75" hidden="false" customHeight="true" outlineLevel="0" collapsed="false">
      <c r="A23" s="23" t="s">
        <v>518</v>
      </c>
      <c r="B23" s="23"/>
      <c r="C23" s="23"/>
      <c r="D23" s="23"/>
      <c r="E23" s="23"/>
    </row>
    <row r="24" customFormat="false" ht="16.5" hidden="false" customHeight="true" outlineLevel="0" collapsed="false">
      <c r="A24" s="11" t="s">
        <v>375</v>
      </c>
      <c r="B24" s="24" t="s">
        <v>511</v>
      </c>
      <c r="C24" s="24" t="s">
        <v>512</v>
      </c>
      <c r="D24" s="24" t="s">
        <v>513</v>
      </c>
      <c r="E24" s="24"/>
    </row>
    <row r="25" customFormat="false" ht="15" hidden="false" customHeight="false" outlineLevel="0" collapsed="false">
      <c r="A25" s="47" t="s">
        <v>489</v>
      </c>
      <c r="B25" s="48" t="n">
        <v>30.4094963634</v>
      </c>
      <c r="C25" s="48" t="n">
        <v>-157.9345060525</v>
      </c>
      <c r="D25" s="48" t="n">
        <v>156.449751728</v>
      </c>
    </row>
    <row r="26" customFormat="false" ht="15" hidden="false" customHeight="false" outlineLevel="0" collapsed="false">
      <c r="A26" s="59" t="s">
        <v>491</v>
      </c>
      <c r="B26" s="60" t="n">
        <v>4.4465769128</v>
      </c>
      <c r="C26" s="60" t="n">
        <v>-157.9345060525</v>
      </c>
      <c r="D26" s="60" t="n">
        <v>4.3157952115</v>
      </c>
    </row>
    <row r="27" customFormat="false" ht="15" hidden="false" customHeight="false" outlineLevel="0" collapsed="false">
      <c r="A27" s="47" t="s">
        <v>519</v>
      </c>
      <c r="B27" s="48" t="n">
        <v>334.2254412563</v>
      </c>
      <c r="C27" s="48" t="n">
        <v>111.892852902</v>
      </c>
      <c r="D27" s="48" t="n">
        <v>499.895019827</v>
      </c>
    </row>
    <row r="28" customFormat="false" ht="15" hidden="false" customHeight="false" outlineLevel="0" collapsed="false">
      <c r="A28" s="41" t="s">
        <v>520</v>
      </c>
      <c r="B28" s="45" t="n">
        <f aca="false">B11</f>
        <v>230.3175544147</v>
      </c>
      <c r="C28" s="45" t="n">
        <f aca="false">C11</f>
        <v>75.3859168386</v>
      </c>
      <c r="D28" s="45" t="n">
        <f aca="false">D11</f>
        <v>343.8204476015</v>
      </c>
    </row>
    <row r="29" customFormat="false" ht="15" hidden="false" customHeight="false" outlineLevel="0" collapsed="false">
      <c r="A29" s="58" t="s">
        <v>521</v>
      </c>
      <c r="B29" s="35" t="n">
        <f aca="false">IFERROR(B11/B11,"n/m")</f>
        <v>1</v>
      </c>
      <c r="C29" s="35" t="n">
        <f aca="false">IFERROR(C11/B11,"n/m")</f>
        <v>0.327312944209469</v>
      </c>
      <c r="D29" s="35" t="n">
        <f aca="false">IFERROR(D11/B11,"n/m")</f>
        <v>1.49281043069097</v>
      </c>
    </row>
    <row r="31" customFormat="false" ht="18.75" hidden="false" customHeight="true" outlineLevel="0" collapsed="false">
      <c r="A31" s="6" t="s">
        <v>522</v>
      </c>
      <c r="B31" s="6"/>
      <c r="C31" s="6"/>
      <c r="D31" s="6"/>
      <c r="E31" s="6"/>
    </row>
    <row r="32" customFormat="false" ht="16.5" hidden="false" customHeight="true" outlineLevel="0" collapsed="false">
      <c r="A32" s="11" t="s">
        <v>523</v>
      </c>
      <c r="B32" s="91" t="s">
        <v>524</v>
      </c>
      <c r="C32" s="91" t="s">
        <v>525</v>
      </c>
      <c r="D32" s="91" t="s">
        <v>526</v>
      </c>
      <c r="E32" s="91" t="s">
        <v>527</v>
      </c>
    </row>
    <row r="33" customFormat="false" ht="15" hidden="false" customHeight="false" outlineLevel="0" collapsed="false">
      <c r="A33" s="88" t="s">
        <v>511</v>
      </c>
      <c r="B33" s="92" t="s">
        <v>528</v>
      </c>
      <c r="C33" s="92" t="s">
        <v>529</v>
      </c>
      <c r="D33" s="92" t="s">
        <v>528</v>
      </c>
      <c r="E33" s="92" t="s">
        <v>530</v>
      </c>
    </row>
    <row r="34" customFormat="false" ht="23.85" hidden="false" customHeight="false" outlineLevel="0" collapsed="false">
      <c r="A34" s="81" t="s">
        <v>512</v>
      </c>
      <c r="B34" s="93" t="s">
        <v>531</v>
      </c>
      <c r="C34" s="93" t="s">
        <v>532</v>
      </c>
      <c r="D34" s="93" t="s">
        <v>533</v>
      </c>
      <c r="E34" s="93" t="s">
        <v>534</v>
      </c>
    </row>
    <row r="35" customFormat="false" ht="15" hidden="false" customHeight="false" outlineLevel="0" collapsed="false">
      <c r="A35" s="88" t="s">
        <v>513</v>
      </c>
      <c r="B35" s="92" t="s">
        <v>535</v>
      </c>
      <c r="C35" s="92" t="s">
        <v>536</v>
      </c>
      <c r="D35" s="92" t="s">
        <v>537</v>
      </c>
      <c r="E35" s="92" t="s">
        <v>530</v>
      </c>
    </row>
    <row r="37" customFormat="false" ht="15" hidden="false" customHeight="false" outlineLevel="0" collapsed="false">
      <c r="A37" s="10" t="s">
        <v>538</v>
      </c>
      <c r="B37" s="10"/>
      <c r="C37" s="10"/>
      <c r="D37" s="10"/>
      <c r="E37" s="10"/>
    </row>
    <row r="38" customFormat="false" ht="15" hidden="false" customHeight="false" outlineLevel="0" collapsed="false">
      <c r="A38" s="94" t="s">
        <v>539</v>
      </c>
      <c r="B38" s="94"/>
      <c r="C38" s="94"/>
      <c r="D38" s="94"/>
      <c r="E38" s="94"/>
    </row>
    <row r="39" customFormat="false" ht="15" hidden="false" customHeight="false" outlineLevel="0" collapsed="false">
      <c r="A39" s="10" t="s">
        <v>540</v>
      </c>
      <c r="B39" s="10"/>
      <c r="C39" s="10"/>
      <c r="D39" s="10"/>
      <c r="E39" s="10"/>
    </row>
    <row r="40" customFormat="false" ht="15" hidden="false" customHeight="false" outlineLevel="0" collapsed="false">
      <c r="A40" s="10" t="s">
        <v>541</v>
      </c>
      <c r="B40" s="10"/>
      <c r="C40" s="10"/>
      <c r="D40" s="10"/>
      <c r="E40" s="10"/>
    </row>
    <row r="41" customFormat="false" ht="15" hidden="false" customHeight="false" outlineLevel="0" collapsed="false">
      <c r="A41" s="10" t="s">
        <v>542</v>
      </c>
      <c r="B41" s="10"/>
      <c r="C41" s="10"/>
      <c r="D41" s="10"/>
      <c r="E41" s="10"/>
    </row>
    <row r="43" customFormat="false" ht="39.75" hidden="false" customHeight="true" outlineLevel="0" collapsed="false">
      <c r="A43" s="16" t="s">
        <v>543</v>
      </c>
      <c r="B43" s="16"/>
      <c r="C43" s="16"/>
      <c r="D43" s="16"/>
      <c r="E43" s="16"/>
      <c r="F43" s="16"/>
      <c r="G43" s="16"/>
    </row>
    <row r="45" customFormat="false" ht="15" hidden="false" customHeight="false" outlineLevel="0" collapsed="false">
      <c r="A45" s="95" t="s">
        <v>544</v>
      </c>
      <c r="B45" s="95"/>
      <c r="C45" s="95"/>
      <c r="D45" s="95"/>
      <c r="E45" s="95"/>
      <c r="F45" s="95"/>
      <c r="G45" s="95"/>
    </row>
    <row r="46" customFormat="false" ht="54" hidden="false" customHeight="true" outlineLevel="0" collapsed="false">
      <c r="A46" s="96" t="s">
        <v>545</v>
      </c>
      <c r="B46" s="96"/>
      <c r="C46" s="96"/>
      <c r="D46" s="96"/>
      <c r="E46" s="96"/>
      <c r="F46" s="96"/>
      <c r="G46" s="96"/>
    </row>
    <row r="47" customFormat="false" ht="43.5" hidden="false" customHeight="true" outlineLevel="0" collapsed="false">
      <c r="A47" s="97" t="s">
        <v>375</v>
      </c>
      <c r="B47" s="98" t="s">
        <v>546</v>
      </c>
      <c r="C47" s="98" t="s">
        <v>547</v>
      </c>
      <c r="D47" s="98" t="s">
        <v>548</v>
      </c>
      <c r="E47" s="98" t="s">
        <v>549</v>
      </c>
      <c r="F47" s="98" t="s">
        <v>550</v>
      </c>
      <c r="G47" s="98" t="s">
        <v>551</v>
      </c>
    </row>
    <row r="48" customFormat="false" ht="15" hidden="false" customHeight="false" outlineLevel="0" collapsed="false">
      <c r="A48" s="50" t="s">
        <v>239</v>
      </c>
      <c r="B48" s="55" t="n">
        <v>0</v>
      </c>
      <c r="C48" s="55" t="n">
        <v>0</v>
      </c>
      <c r="D48" s="55" t="n">
        <v>2</v>
      </c>
      <c r="E48" s="55" t="n">
        <v>1</v>
      </c>
      <c r="F48" s="55" t="n">
        <v>2</v>
      </c>
      <c r="G48" s="55" t="n">
        <v>2</v>
      </c>
    </row>
    <row r="49" customFormat="false" ht="15" hidden="false" customHeight="false" outlineLevel="0" collapsed="false">
      <c r="A49" s="50" t="s">
        <v>552</v>
      </c>
      <c r="B49" s="56" t="n">
        <v>0</v>
      </c>
      <c r="C49" s="56" t="n">
        <v>0</v>
      </c>
      <c r="D49" s="56" t="n">
        <v>0.5</v>
      </c>
      <c r="E49" s="56" t="n">
        <v>1</v>
      </c>
      <c r="F49" s="56" t="n">
        <v>1</v>
      </c>
      <c r="G49" s="56" t="n">
        <v>0.5</v>
      </c>
    </row>
    <row r="50" customFormat="false" ht="15" hidden="false" customHeight="false" outlineLevel="0" collapsed="false">
      <c r="A50" s="50" t="s">
        <v>242</v>
      </c>
      <c r="B50" s="54" t="n">
        <v>0</v>
      </c>
      <c r="C50" s="54" t="n">
        <v>0</v>
      </c>
      <c r="D50" s="54" t="n">
        <v>0</v>
      </c>
      <c r="E50" s="54" t="n">
        <v>0</v>
      </c>
      <c r="F50" s="54" t="n">
        <v>0</v>
      </c>
      <c r="G50" s="54" t="n">
        <v>0.5</v>
      </c>
    </row>
    <row r="51" customFormat="false" ht="15" hidden="false" customHeight="false" outlineLevel="0" collapsed="false">
      <c r="A51" s="50" t="s">
        <v>553</v>
      </c>
      <c r="B51" s="56" t="n">
        <v>0</v>
      </c>
      <c r="C51" s="56" t="n">
        <v>0</v>
      </c>
      <c r="D51" s="56" t="n">
        <v>0</v>
      </c>
      <c r="E51" s="56" t="n">
        <v>0</v>
      </c>
      <c r="F51" s="56" t="n">
        <v>0</v>
      </c>
      <c r="G51" s="56" t="n">
        <v>0.1</v>
      </c>
    </row>
    <row r="52" customFormat="false" ht="15" hidden="false" customHeight="false" outlineLevel="0" collapsed="false">
      <c r="A52" s="50" t="s">
        <v>554</v>
      </c>
      <c r="B52" s="53" t="n">
        <v>0</v>
      </c>
      <c r="C52" s="53" t="n">
        <v>1</v>
      </c>
      <c r="D52" s="53" t="n">
        <v>0</v>
      </c>
      <c r="E52" s="53" t="n">
        <v>0</v>
      </c>
      <c r="F52" s="53" t="n">
        <v>0</v>
      </c>
      <c r="G52" s="53" t="n">
        <v>0</v>
      </c>
    </row>
    <row r="53" customFormat="false" ht="15" hidden="false" customHeight="false" outlineLevel="0" collapsed="false">
      <c r="A53" s="62" t="s">
        <v>520</v>
      </c>
      <c r="B53" s="45" t="n">
        <f aca="false">'Summary P&amp;L'!F6+(B$52*'Govern overlay'!F65+'Govern overlay'!F76*B$48*B$50*B$51)</f>
        <v>230.3175544147</v>
      </c>
      <c r="C53" s="45" t="n">
        <f aca="false">'Summary P&amp;L'!F6+(C$52*'Govern overlay'!F65+'Govern overlay'!F76*C$48*C$50*C$51)</f>
        <v>231.091494317894</v>
      </c>
      <c r="D53" s="45" t="n">
        <f aca="false">'Summary P&amp;L'!F6+(D$52*'Govern overlay'!F65+'Govern overlay'!F76*D$48*D$50*D$51)</f>
        <v>230.3175544147</v>
      </c>
      <c r="E53" s="45" t="n">
        <f aca="false">'Summary P&amp;L'!F6+(E$52*'Govern overlay'!F65+'Govern overlay'!F76*E$48*E$50*E$51)</f>
        <v>230.3175544147</v>
      </c>
      <c r="F53" s="45" t="n">
        <f aca="false">'Summary P&amp;L'!F6+(F$52*'Govern overlay'!F65+'Govern overlay'!F76*F$48*F$50*F$51)</f>
        <v>230.3175544147</v>
      </c>
      <c r="G53" s="45" t="n">
        <f aca="false">'Summary P&amp;L'!F6+(G$52*'Govern overlay'!F65+'Govern overlay'!F76*G$48*G$50*G$51)</f>
        <v>252.4321344147</v>
      </c>
    </row>
    <row r="54" customFormat="false" ht="15" hidden="false" customHeight="false" outlineLevel="0" collapsed="false">
      <c r="A54" s="64" t="s">
        <v>555</v>
      </c>
      <c r="B54" s="72" t="n">
        <f aca="false">('Summary P&amp;L'!D6+(B$52*'Govern overlay'!D65+'Govern overlay'!D76*B$48*B$50*B$51)-'Summary P&amp;L'!D7-(B$52*'Govern overlay'!D66+'Govern overlay'!D75*B$48*B$49))/('Summary P&amp;L'!D6+(B$52*'Govern overlay'!D65+'Govern overlay'!D76*B$48*B$50*B$51))</f>
        <v>0.621877928486018</v>
      </c>
      <c r="C54" s="72" t="n">
        <f aca="false">('Summary P&amp;L'!D6+(C$52*'Govern overlay'!D65+'Govern overlay'!D76*C$48*C$50*C$51)-'Summary P&amp;L'!D7-(C$52*'Govern overlay'!D66+'Govern overlay'!D75*C$48*C$49))/('Summary P&amp;L'!D6+(C$52*'Govern overlay'!D65+'Govern overlay'!D76*C$48*C$50*C$51))</f>
        <v>0.622857785543629</v>
      </c>
      <c r="D54" s="72" t="n">
        <f aca="false">('Summary P&amp;L'!D6+(D$52*'Govern overlay'!D65+'Govern overlay'!D76*D$48*D$50*D$51)-'Summary P&amp;L'!D7-(D$52*'Govern overlay'!D66+'Govern overlay'!D75*D$48*D$49))/('Summary P&amp;L'!D6+(D$52*'Govern overlay'!D65+'Govern overlay'!D76*D$48*D$50*D$51))</f>
        <v>0.546957658827404</v>
      </c>
      <c r="E54" s="72" t="n">
        <f aca="false">('Summary P&amp;L'!D6+(E$52*'Govern overlay'!D65+'Govern overlay'!D76*E$48*E$50*E$51)-'Summary P&amp;L'!D7-(E$52*'Govern overlay'!D66+'Govern overlay'!D75*E$48*E$49))/('Summary P&amp;L'!D6+(E$52*'Govern overlay'!D65+'Govern overlay'!D76*E$48*E$50*E$51))</f>
        <v>0.546957658827404</v>
      </c>
      <c r="F54" s="72" t="n">
        <f aca="false">('Summary P&amp;L'!D6+(F$52*'Govern overlay'!D65+'Govern overlay'!D76*F$48*F$50*F$51)-'Summary P&amp;L'!D7-(F$52*'Govern overlay'!D66+'Govern overlay'!D75*F$48*F$49))/('Summary P&amp;L'!D6+(F$52*'Govern overlay'!D65+'Govern overlay'!D76*F$48*F$50*F$51))</f>
        <v>0.47203738916879</v>
      </c>
      <c r="G54" s="72" t="n">
        <f aca="false">('Summary P&amp;L'!D6+(G$52*'Govern overlay'!D65+'Govern overlay'!D76*G$48*G$50*G$51)-'Summary P&amp;L'!D7-(G$52*'Govern overlay'!D66+'Govern overlay'!D75*G$48*G$49))/('Summary P&amp;L'!D6+(G$52*'Govern overlay'!D65+'Govern overlay'!D76*G$48*G$50*G$51))</f>
        <v>0.581196721940774</v>
      </c>
    </row>
    <row r="55" customFormat="false" ht="15" hidden="false" customHeight="false" outlineLevel="0" collapsed="false">
      <c r="A55" s="62" t="s">
        <v>556</v>
      </c>
      <c r="B55" s="99" t="n">
        <f aca="false">(B54-$B$54)*100</f>
        <v>0</v>
      </c>
      <c r="C55" s="99" t="n">
        <f aca="false">(C54-$B$54)*100</f>
        <v>0.0979857057611389</v>
      </c>
      <c r="D55" s="99" t="n">
        <f aca="false">(D54-$B$54)*100</f>
        <v>-7.49202696586137</v>
      </c>
      <c r="E55" s="99" t="n">
        <f aca="false">(E54-$B$54)*100</f>
        <v>-7.49202696586137</v>
      </c>
      <c r="F55" s="99" t="n">
        <f aca="false">(F54-$B$54)*100</f>
        <v>-14.9840539317227</v>
      </c>
      <c r="G55" s="99" t="n">
        <f aca="false">(G54-$B$54)*100</f>
        <v>-4.06812065452433</v>
      </c>
    </row>
    <row r="56" customFormat="false" ht="15" hidden="false" customHeight="false" outlineLevel="0" collapsed="false">
      <c r="A56" s="62" t="s">
        <v>557</v>
      </c>
      <c r="B56" s="45" t="n">
        <f aca="false">'Summary P&amp;L'!E11+(B$52*'Govern overlay'!E65+'Govern overlay'!E76*B$48*B$50*B$51)-(B$52*'Govern overlay'!E66+'Govern overlay'!E75*B$48*B$49)</f>
        <v>-46.4811758231</v>
      </c>
      <c r="C56" s="45" t="n">
        <f aca="false">'Summary P&amp;L'!E11+(C$52*'Govern overlay'!E65+'Govern overlay'!E76*C$48*C$50*C$51)-(C$52*'Govern overlay'!E66+'Govern overlay'!E75*C$48*C$49)</f>
        <v>-46.22147043404</v>
      </c>
      <c r="D56" s="45" t="n">
        <f aca="false">'Summary P&amp;L'!E11+(D$52*'Govern overlay'!E65+'Govern overlay'!E76*D$48*D$50*D$51)-(D$52*'Govern overlay'!E66+'Govern overlay'!E75*D$48*D$49)</f>
        <v>-51.5155222061</v>
      </c>
      <c r="E56" s="45" t="n">
        <f aca="false">'Summary P&amp;L'!E11+(E$52*'Govern overlay'!E65+'Govern overlay'!E76*E$48*E$50*E$51)-(E$52*'Govern overlay'!E66+'Govern overlay'!E75*E$48*E$49)</f>
        <v>-51.5155222061</v>
      </c>
      <c r="F56" s="45" t="n">
        <f aca="false">'Summary P&amp;L'!E11+(F$52*'Govern overlay'!E65+'Govern overlay'!E76*F$48*F$50*F$51)-(F$52*'Govern overlay'!E66+'Govern overlay'!E75*F$48*F$49)</f>
        <v>-56.5498685891</v>
      </c>
      <c r="G56" s="45" t="n">
        <f aca="false">'Summary P&amp;L'!E11+(G$52*'Govern overlay'!E65+'Govern overlay'!E76*G$48*G$50*G$51)-(G$52*'Govern overlay'!E66+'Govern overlay'!E75*G$48*G$49)</f>
        <v>-44.0546422061</v>
      </c>
    </row>
    <row r="57" customFormat="false" ht="15" hidden="false" customHeight="false" outlineLevel="0" collapsed="false">
      <c r="A57" s="62" t="s">
        <v>558</v>
      </c>
      <c r="B57" s="37" t="n">
        <f aca="false">('Summary P&amp;L'!F6+(B$52*'Govern overlay'!F65+'Govern overlay'!F76*B$48*B$50*B$51)-'Summary P&amp;L'!F7-(B$52*'Govern overlay'!F66+'Govern overlay'!F75*B$48*B$49))/('Summary P&amp;L'!F6+(B$52*'Govern overlay'!F65+'Govern overlay'!F76*B$48*B$50*B$51))</f>
        <v>0.859996288773367</v>
      </c>
      <c r="C57" s="37" t="n">
        <f aca="false">('Summary P&amp;L'!F6+(C$52*'Govern overlay'!F65+'Govern overlay'!F76*C$48*C$50*C$51)-'Summary P&amp;L'!F7-(C$52*'Govern overlay'!F66+'Govern overlay'!F75*C$48*C$49))/('Summary P&amp;L'!F6+(C$52*'Govern overlay'!F65+'Govern overlay'!F76*C$48*C$50*C$51))</f>
        <v>0.859921354620824</v>
      </c>
      <c r="D57" s="37" t="n">
        <f aca="false">('Summary P&amp;L'!F6+(D$52*'Govern overlay'!F65+'Govern overlay'!F76*D$48*D$50*D$51)-'Summary P&amp;L'!F7-(D$52*'Govern overlay'!F66+'Govern overlay'!F75*D$48*D$49))/('Summary P&amp;L'!F6+(D$52*'Govern overlay'!F65+'Govern overlay'!F76*D$48*D$50*D$51))</f>
        <v>0.803745337199469</v>
      </c>
      <c r="E57" s="37" t="n">
        <f aca="false">('Summary P&amp;L'!F6+(E$52*'Govern overlay'!F65+'Govern overlay'!F76*E$48*E$50*E$51)-'Summary P&amp;L'!F7-(E$52*'Govern overlay'!F66+'Govern overlay'!F75*E$48*E$49))/('Summary P&amp;L'!F6+(E$52*'Govern overlay'!F65+'Govern overlay'!F76*E$48*E$50*E$51))</f>
        <v>0.803745337199469</v>
      </c>
      <c r="F57" s="37" t="n">
        <f aca="false">('Summary P&amp;L'!F6+(F$52*'Govern overlay'!F65+'Govern overlay'!F76*F$48*F$50*F$51)-'Summary P&amp;L'!F7-(F$52*'Govern overlay'!F66+'Govern overlay'!F75*F$48*F$49))/('Summary P&amp;L'!F6+(F$52*'Govern overlay'!F65+'Govern overlay'!F76*F$48*F$50*F$51))</f>
        <v>0.74749438562557</v>
      </c>
      <c r="G57" s="37" t="n">
        <f aca="false">('Summary P&amp;L'!F6+(G$52*'Govern overlay'!F65+'Govern overlay'!F76*G$48*G$50*G$51)-'Summary P&amp;L'!F7-(G$52*'Govern overlay'!F66+'Govern overlay'!F75*G$48*G$49))/('Summary P&amp;L'!F6+(G$52*'Govern overlay'!F65+'Govern overlay'!F76*G$48*G$50*G$51))</f>
        <v>0.820938431299546</v>
      </c>
    </row>
    <row r="58" customFormat="false" ht="15" hidden="false" customHeight="false" outlineLevel="0" collapsed="false">
      <c r="A58" s="64" t="s">
        <v>559</v>
      </c>
      <c r="B58" s="48" t="n">
        <f aca="false">'Summary P&amp;L'!F11+(B$52*'Govern overlay'!F65+'Govern overlay'!F76*B$48*B$50*B$51)-(B$52*'Govern overlay'!F66+'Govern overlay'!F75*B$48*B$49)</f>
        <v>22.5759510405</v>
      </c>
      <c r="C58" s="48" t="n">
        <f aca="false">'Summary P&amp;L'!F11+(C$52*'Govern overlay'!F65+'Govern overlay'!F76*C$48*C$50*C$51)-(C$52*'Govern overlay'!F66+'Govern overlay'!F75*C$48*C$49)</f>
        <v>23.2242198396936</v>
      </c>
      <c r="D58" s="48" t="n">
        <f aca="false">'Summary P&amp;L'!F11+(D$52*'Govern overlay'!F65+'Govern overlay'!F76*D$48*D$50*D$51)-(D$52*'Govern overlay'!F66+'Govern overlay'!F75*D$48*D$49)</f>
        <v>9.6203694405</v>
      </c>
      <c r="E58" s="48" t="n">
        <f aca="false">'Summary P&amp;L'!F11+(E$52*'Govern overlay'!F65+'Govern overlay'!F76*E$48*E$50*E$51)-(E$52*'Govern overlay'!F66+'Govern overlay'!F75*E$48*E$49)</f>
        <v>9.6203694405</v>
      </c>
      <c r="F58" s="48" t="n">
        <f aca="false">'Summary P&amp;L'!F11+(F$52*'Govern overlay'!F65+'Govern overlay'!F76*F$48*F$50*F$51)-(F$52*'Govern overlay'!F66+'Govern overlay'!F75*F$48*F$49)</f>
        <v>-3.3352121595</v>
      </c>
      <c r="G58" s="48" t="n">
        <f aca="false">'Summary P&amp;L'!F11+(G$52*'Govern overlay'!F65+'Govern overlay'!F76*G$48*G$50*G$51)-(G$52*'Govern overlay'!F66+'Govern overlay'!F75*G$48*G$49)</f>
        <v>31.7349494405</v>
      </c>
    </row>
    <row r="59" customFormat="false" ht="15" hidden="false" customHeight="false" outlineLevel="0" collapsed="false">
      <c r="A59" s="64" t="s">
        <v>489</v>
      </c>
      <c r="B59" s="48" t="n">
        <f aca="false">'Summary P&amp;L'!F18+B$52*'Govern overlay'!F68+SUM('Govern overlay'!B76:F76)*B$48*B$50*B$51-SUM('Govern overlay'!B75:F75)*B$48*B$49</f>
        <v>30.4094963634</v>
      </c>
      <c r="C59" s="48" t="n">
        <f aca="false">'Summary P&amp;L'!F18+C$52*'Govern overlay'!F68+SUM('Govern overlay'!B76:F76)*C$48*C$50*C$51-SUM('Govern overlay'!B75:F75)*C$48*C$49</f>
        <v>31.2432833322589</v>
      </c>
      <c r="D59" s="48" t="n">
        <f aca="false">'Summary P&amp;L'!F18+D$52*'Govern overlay'!F68+SUM('Govern overlay'!B76:F76)*D$48*D$50*D$51-SUM('Govern overlay'!B75:F75)*D$48*D$49</f>
        <v>10.85461965465</v>
      </c>
      <c r="E59" s="48" t="n">
        <f aca="false">'Summary P&amp;L'!F18+E$52*'Govern overlay'!F68+SUM('Govern overlay'!B76:F76)*E$48*E$50*E$51-SUM('Govern overlay'!B75:F75)*E$48*E$49</f>
        <v>10.85461965465</v>
      </c>
      <c r="F59" s="48" t="n">
        <f aca="false">'Summary P&amp;L'!F18+F$52*'Govern overlay'!F68+SUM('Govern overlay'!B76:F76)*F$48*F$50*F$51-SUM('Govern overlay'!B75:F75)*F$48*F$49</f>
        <v>-8.7002570541</v>
      </c>
      <c r="G59" s="48" t="n">
        <f aca="false">'Summary P&amp;L'!F18+G$52*'Govern overlay'!F68+SUM('Govern overlay'!B76:F76)*G$48*G$50*G$51-SUM('Govern overlay'!B75:F75)*G$48*G$49</f>
        <v>42.04084965465</v>
      </c>
    </row>
    <row r="60" customFormat="false" ht="15" hidden="false" customHeight="false" outlineLevel="0" collapsed="false">
      <c r="A60" s="62" t="s">
        <v>560</v>
      </c>
      <c r="B60" s="45" t="n">
        <f aca="false">'Cash and funding'!G29+B$52*'Govern overlay'!M29+('Govern overlay'!B76+'Govern overlay'!C76+0.5*'Govern overlay'!D76)*B$48*B$50*B$51-('Govern overlay'!B75+'Govern overlay'!C75+0.5*'Govern overlay'!D75)*B$48*B$49</f>
        <v>14.132095655</v>
      </c>
      <c r="C60" s="45" t="n">
        <f aca="false">'Cash and funding'!G29+C$52*'Govern overlay'!M29+('Govern overlay'!B76+'Govern overlay'!C76+0.5*'Govern overlay'!D76)*C$48*C$50*C$51-('Govern overlay'!B75+'Govern overlay'!C75+0.5*'Govern overlay'!D75)*C$48*C$49</f>
        <v>14.1501099472368</v>
      </c>
      <c r="D60" s="45" t="n">
        <f aca="false">'Cash and funding'!G29+D$52*'Govern overlay'!M29+('Govern overlay'!B76+'Govern overlay'!C76+0.5*'Govern overlay'!D76)*D$48*D$50*D$51-('Govern overlay'!B75+'Govern overlay'!C75+0.5*'Govern overlay'!D75)*D$48*D$49</f>
        <v>13.24433369525</v>
      </c>
      <c r="E60" s="45" t="n">
        <f aca="false">'Cash and funding'!G29+E$52*'Govern overlay'!M29+('Govern overlay'!B76+'Govern overlay'!C76+0.5*'Govern overlay'!D76)*E$48*E$50*E$51-('Govern overlay'!B75+'Govern overlay'!C75+0.5*'Govern overlay'!D75)*E$48*E$49</f>
        <v>13.24433369525</v>
      </c>
      <c r="F60" s="45" t="n">
        <f aca="false">'Cash and funding'!G29+F$52*'Govern overlay'!M29+('Govern overlay'!B76+'Govern overlay'!C76+0.5*'Govern overlay'!D76)*F$48*F$50*F$51-('Govern overlay'!B75+'Govern overlay'!C75+0.5*'Govern overlay'!D75)*F$48*F$49</f>
        <v>12.3565717355</v>
      </c>
      <c r="G60" s="45" t="n">
        <f aca="false">'Cash and funding'!G29+G$52*'Govern overlay'!M29+('Govern overlay'!B76+'Govern overlay'!C76+0.5*'Govern overlay'!D76)*G$48*G$50*G$51-('Govern overlay'!B75+'Govern overlay'!C75+0.5*'Govern overlay'!D75)*G$48*G$49</f>
        <v>14.11614369525</v>
      </c>
    </row>
    <row r="61" customFormat="false" ht="39.75" hidden="false" customHeight="true" outlineLevel="0" collapsed="false">
      <c r="A61" s="16" t="s">
        <v>561</v>
      </c>
      <c r="B61" s="16"/>
      <c r="C61" s="16"/>
      <c r="D61" s="16"/>
      <c r="E61" s="16"/>
      <c r="F61" s="16"/>
      <c r="G61" s="16"/>
    </row>
    <row r="62" customFormat="false" ht="27.75" hidden="false" customHeight="true" outlineLevel="0" collapsed="false">
      <c r="A62" s="16" t="s">
        <v>562</v>
      </c>
      <c r="B62" s="16"/>
      <c r="C62" s="16"/>
      <c r="D62" s="16"/>
      <c r="E62" s="16"/>
      <c r="F62" s="16"/>
      <c r="G62" s="16"/>
    </row>
  </sheetData>
  <mergeCells count="17">
    <mergeCell ref="A1:E1"/>
    <mergeCell ref="A2:E2"/>
    <mergeCell ref="A3:E3"/>
    <mergeCell ref="A5:E5"/>
    <mergeCell ref="A14:E14"/>
    <mergeCell ref="A23:E23"/>
    <mergeCell ref="A31:E31"/>
    <mergeCell ref="A37:E37"/>
    <mergeCell ref="A38:E38"/>
    <mergeCell ref="A39:E39"/>
    <mergeCell ref="A40:E40"/>
    <mergeCell ref="A41:E41"/>
    <mergeCell ref="A43:G43"/>
    <mergeCell ref="A45:G45"/>
    <mergeCell ref="A46:G46"/>
    <mergeCell ref="A61:G61"/>
    <mergeCell ref="A62:G62"/>
  </mergeCells>
  <conditionalFormatting sqref="B6:E42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3" min="2" style="0" width="13"/>
  </cols>
  <sheetData>
    <row r="1" customFormat="false" ht="19.7" hidden="false" customHeight="false" outlineLevel="0" collapsed="false">
      <c r="A1" s="100" t="s">
        <v>563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</row>
    <row r="2" customFormat="false" ht="27.75" hidden="false" customHeight="true" outlineLevel="0" collapsed="false">
      <c r="A2" s="101" t="s">
        <v>564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customFormat="false" ht="15" hidden="false" customHeight="true" outlineLevel="0" collapsed="false">
      <c r="A3" s="16" t="s">
        <v>565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customFormat="false" ht="15" hidden="false" customHeight="false" outlineLevel="0" collapsed="false">
      <c r="A4" s="49" t="s">
        <v>566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27.75" hidden="false" customHeight="true" outlineLevel="0" collapsed="false">
      <c r="A5" s="102" t="s">
        <v>102</v>
      </c>
      <c r="B5" s="103" t="s">
        <v>567</v>
      </c>
      <c r="C5" s="103" t="s">
        <v>316</v>
      </c>
      <c r="D5" s="103" t="s">
        <v>568</v>
      </c>
      <c r="E5" s="103" t="s">
        <v>569</v>
      </c>
      <c r="F5" s="103" t="s">
        <v>570</v>
      </c>
      <c r="G5" s="103" t="s">
        <v>571</v>
      </c>
      <c r="H5" s="103" t="s">
        <v>572</v>
      </c>
      <c r="I5" s="103" t="s">
        <v>264</v>
      </c>
      <c r="J5" s="103" t="s">
        <v>573</v>
      </c>
      <c r="K5" s="103" t="s">
        <v>574</v>
      </c>
      <c r="L5" s="103" t="s">
        <v>575</v>
      </c>
      <c r="M5" s="103" t="s">
        <v>576</v>
      </c>
    </row>
    <row r="6" customFormat="false" ht="15" hidden="false" customHeight="false" outlineLevel="0" collapsed="false">
      <c r="A6" s="62" t="str">
        <f aca="false">Assumptions!A29</f>
        <v>Oct 2026</v>
      </c>
      <c r="B6" s="62" t="s">
        <v>258</v>
      </c>
      <c r="C6" s="104" t="n">
        <f aca="false">Assumptions!B29</f>
        <v>0</v>
      </c>
      <c r="D6" s="105" t="n">
        <f aca="false">Assumptions!$B$122</f>
        <v>0</v>
      </c>
      <c r="E6" s="106" t="n">
        <f aca="false">1</f>
        <v>1</v>
      </c>
      <c r="F6" s="106" t="n">
        <f aca="false">C6*D6*Assumptions!$B$121*E6/12/10^7</f>
        <v>0</v>
      </c>
      <c r="G6" s="106" t="n">
        <f aca="false">-F6*Assumptions!$B$128*Assumptions!J29</f>
        <v>-0</v>
      </c>
      <c r="H6" s="107" t="n">
        <f aca="false">F6+G6</f>
        <v>0</v>
      </c>
      <c r="I6" s="106" t="n">
        <f aca="false">F6*Assumptions!$B$127</f>
        <v>0</v>
      </c>
      <c r="J6" s="106" t="n">
        <f aca="false">H6-I6</f>
        <v>0</v>
      </c>
      <c r="K6" s="106" t="n">
        <f aca="false">H6*Assumptions!$B$104/30.4</f>
        <v>0</v>
      </c>
      <c r="L6" s="106" t="n">
        <f aca="false">-K6</f>
        <v>-0</v>
      </c>
      <c r="M6" s="107" t="n">
        <f aca="false">J6+L6</f>
        <v>0</v>
      </c>
    </row>
    <row r="7" customFormat="false" ht="15" hidden="false" customHeight="false" outlineLevel="0" collapsed="false">
      <c r="A7" s="62" t="str">
        <f aca="false">Assumptions!A30</f>
        <v>Nov 2026</v>
      </c>
      <c r="B7" s="62" t="s">
        <v>258</v>
      </c>
      <c r="C7" s="104" t="n">
        <f aca="false">Assumptions!B30</f>
        <v>0</v>
      </c>
      <c r="D7" s="105" t="n">
        <f aca="false">Assumptions!$B$122</f>
        <v>0</v>
      </c>
      <c r="E7" s="106" t="n">
        <f aca="false">1</f>
        <v>1</v>
      </c>
      <c r="F7" s="106" t="n">
        <f aca="false">C7*D7*Assumptions!$B$121*E7/12/10^7</f>
        <v>0</v>
      </c>
      <c r="G7" s="106" t="n">
        <f aca="false">-F7*Assumptions!$B$128*Assumptions!J30</f>
        <v>-0</v>
      </c>
      <c r="H7" s="107" t="n">
        <f aca="false">F7+G7</f>
        <v>0</v>
      </c>
      <c r="I7" s="106" t="n">
        <f aca="false">F7*Assumptions!$B$127</f>
        <v>0</v>
      </c>
      <c r="J7" s="106" t="n">
        <f aca="false">H7-I7</f>
        <v>0</v>
      </c>
      <c r="K7" s="106" t="n">
        <f aca="false">H7*Assumptions!$B$104/30.4</f>
        <v>0</v>
      </c>
      <c r="L7" s="106" t="n">
        <f aca="false">-(K7-K6)</f>
        <v>-0</v>
      </c>
      <c r="M7" s="107" t="n">
        <f aca="false">M6+J7+L7</f>
        <v>0</v>
      </c>
    </row>
    <row r="8" customFormat="false" ht="15" hidden="false" customHeight="false" outlineLevel="0" collapsed="false">
      <c r="A8" s="62" t="str">
        <f aca="false">Assumptions!A31</f>
        <v>Dec 2026</v>
      </c>
      <c r="B8" s="62" t="s">
        <v>258</v>
      </c>
      <c r="C8" s="104" t="n">
        <f aca="false">Assumptions!B31</f>
        <v>0</v>
      </c>
      <c r="D8" s="105" t="n">
        <f aca="false">Assumptions!$B$122</f>
        <v>0</v>
      </c>
      <c r="E8" s="106" t="n">
        <f aca="false">1</f>
        <v>1</v>
      </c>
      <c r="F8" s="106" t="n">
        <f aca="false">C8*D8*Assumptions!$B$121*E8/12/10^7</f>
        <v>0</v>
      </c>
      <c r="G8" s="106" t="n">
        <f aca="false">-F8*Assumptions!$B$128*Assumptions!J31</f>
        <v>-0</v>
      </c>
      <c r="H8" s="107" t="n">
        <f aca="false">F8+G8</f>
        <v>0</v>
      </c>
      <c r="I8" s="106" t="n">
        <f aca="false">F8*Assumptions!$B$127</f>
        <v>0</v>
      </c>
      <c r="J8" s="106" t="n">
        <f aca="false">H8-I8</f>
        <v>0</v>
      </c>
      <c r="K8" s="106" t="n">
        <f aca="false">H8*Assumptions!$B$104/30.4</f>
        <v>0</v>
      </c>
      <c r="L8" s="106" t="n">
        <f aca="false">-(K8-K7)</f>
        <v>-0</v>
      </c>
      <c r="M8" s="107" t="n">
        <f aca="false">M7+J8+L8</f>
        <v>0</v>
      </c>
    </row>
    <row r="9" customFormat="false" ht="15" hidden="false" customHeight="false" outlineLevel="0" collapsed="false">
      <c r="A9" s="62" t="str">
        <f aca="false">Assumptions!A32</f>
        <v>Jan 2027</v>
      </c>
      <c r="B9" s="62" t="s">
        <v>258</v>
      </c>
      <c r="C9" s="104" t="n">
        <f aca="false">Assumptions!B32</f>
        <v>0</v>
      </c>
      <c r="D9" s="105" t="n">
        <f aca="false">Assumptions!$B$122</f>
        <v>0</v>
      </c>
      <c r="E9" s="106" t="n">
        <f aca="false">1</f>
        <v>1</v>
      </c>
      <c r="F9" s="106" t="n">
        <f aca="false">C9*D9*Assumptions!$B$121*E9/12/10^7</f>
        <v>0</v>
      </c>
      <c r="G9" s="106" t="n">
        <f aca="false">-F9*Assumptions!$B$128*Assumptions!J32</f>
        <v>-0</v>
      </c>
      <c r="H9" s="107" t="n">
        <f aca="false">F9+G9</f>
        <v>0</v>
      </c>
      <c r="I9" s="106" t="n">
        <f aca="false">F9*Assumptions!$B$127</f>
        <v>0</v>
      </c>
      <c r="J9" s="106" t="n">
        <f aca="false">H9-I9</f>
        <v>0</v>
      </c>
      <c r="K9" s="106" t="n">
        <f aca="false">H9*Assumptions!$B$104/30.4</f>
        <v>0</v>
      </c>
      <c r="L9" s="106" t="n">
        <f aca="false">-(K9-K8)</f>
        <v>-0</v>
      </c>
      <c r="M9" s="107" t="n">
        <f aca="false">M8+J9+L9</f>
        <v>0</v>
      </c>
    </row>
    <row r="10" customFormat="false" ht="15" hidden="false" customHeight="false" outlineLevel="0" collapsed="false">
      <c r="A10" s="62" t="str">
        <f aca="false">Assumptions!A33</f>
        <v>Feb 2027</v>
      </c>
      <c r="B10" s="62" t="s">
        <v>258</v>
      </c>
      <c r="C10" s="104" t="n">
        <f aca="false">Assumptions!B33</f>
        <v>0</v>
      </c>
      <c r="D10" s="105" t="n">
        <f aca="false">Assumptions!$B$122</f>
        <v>0</v>
      </c>
      <c r="E10" s="106" t="n">
        <f aca="false">1</f>
        <v>1</v>
      </c>
      <c r="F10" s="106" t="n">
        <f aca="false">C10*D10*Assumptions!$B$121*E10/12/10^7</f>
        <v>0</v>
      </c>
      <c r="G10" s="106" t="n">
        <f aca="false">-F10*Assumptions!$B$128*Assumptions!J33</f>
        <v>-0</v>
      </c>
      <c r="H10" s="107" t="n">
        <f aca="false">F10+G10</f>
        <v>0</v>
      </c>
      <c r="I10" s="106" t="n">
        <f aca="false">F10*Assumptions!$B$127</f>
        <v>0</v>
      </c>
      <c r="J10" s="106" t="n">
        <f aca="false">H10-I10</f>
        <v>0</v>
      </c>
      <c r="K10" s="106" t="n">
        <f aca="false">H10*Assumptions!$B$104/30.4</f>
        <v>0</v>
      </c>
      <c r="L10" s="106" t="n">
        <f aca="false">-(K10-K9)</f>
        <v>-0</v>
      </c>
      <c r="M10" s="107" t="n">
        <f aca="false">M9+J10+L10</f>
        <v>0</v>
      </c>
    </row>
    <row r="11" customFormat="false" ht="15" hidden="false" customHeight="false" outlineLevel="0" collapsed="false">
      <c r="A11" s="62" t="str">
        <f aca="false">Assumptions!A34</f>
        <v>Mar 2027</v>
      </c>
      <c r="B11" s="62" t="s">
        <v>258</v>
      </c>
      <c r="C11" s="104" t="n">
        <f aca="false">Assumptions!B34</f>
        <v>0</v>
      </c>
      <c r="D11" s="105" t="n">
        <f aca="false">Assumptions!$B$122</f>
        <v>0</v>
      </c>
      <c r="E11" s="106" t="n">
        <f aca="false">1</f>
        <v>1</v>
      </c>
      <c r="F11" s="106" t="n">
        <f aca="false">C11*D11*Assumptions!$B$121*E11/12/10^7</f>
        <v>0</v>
      </c>
      <c r="G11" s="106" t="n">
        <f aca="false">-F11*Assumptions!$B$128*Assumptions!J34</f>
        <v>-0</v>
      </c>
      <c r="H11" s="107" t="n">
        <f aca="false">F11+G11</f>
        <v>0</v>
      </c>
      <c r="I11" s="106" t="n">
        <f aca="false">F11*Assumptions!$B$127</f>
        <v>0</v>
      </c>
      <c r="J11" s="106" t="n">
        <f aca="false">H11-I11</f>
        <v>0</v>
      </c>
      <c r="K11" s="106" t="n">
        <f aca="false">H11*Assumptions!$B$104/30.4</f>
        <v>0</v>
      </c>
      <c r="L11" s="106" t="n">
        <f aca="false">-(K11-K10)</f>
        <v>-0</v>
      </c>
      <c r="M11" s="107" t="n">
        <f aca="false">M10+J11+L11</f>
        <v>0</v>
      </c>
    </row>
    <row r="12" customFormat="false" ht="15" hidden="false" customHeight="false" outlineLevel="0" collapsed="false">
      <c r="A12" s="62" t="str">
        <f aca="false">Assumptions!A35</f>
        <v>Apr 2027</v>
      </c>
      <c r="B12" s="62" t="s">
        <v>259</v>
      </c>
      <c r="C12" s="104" t="n">
        <f aca="false">Assumptions!B35</f>
        <v>0</v>
      </c>
      <c r="D12" s="105" t="n">
        <f aca="false">Assumptions!$B$123</f>
        <v>0.05</v>
      </c>
      <c r="E12" s="106" t="n">
        <f aca="false">1</f>
        <v>1</v>
      </c>
      <c r="F12" s="106" t="n">
        <f aca="false">C12*D12*Assumptions!$B$121*E12/12/10^7</f>
        <v>0</v>
      </c>
      <c r="G12" s="106" t="n">
        <f aca="false">-F12*Assumptions!$B$128*Assumptions!J35</f>
        <v>-0</v>
      </c>
      <c r="H12" s="107" t="n">
        <f aca="false">F12+G12</f>
        <v>0</v>
      </c>
      <c r="I12" s="106" t="n">
        <f aca="false">F12*Assumptions!$B$127</f>
        <v>0</v>
      </c>
      <c r="J12" s="106" t="n">
        <f aca="false">H12-I12</f>
        <v>0</v>
      </c>
      <c r="K12" s="106" t="n">
        <f aca="false">H12*Assumptions!$B$104/30.4</f>
        <v>0</v>
      </c>
      <c r="L12" s="106" t="n">
        <f aca="false">-(K12-K11)</f>
        <v>-0</v>
      </c>
      <c r="M12" s="107" t="n">
        <f aca="false">M11+J12+L12</f>
        <v>0</v>
      </c>
    </row>
    <row r="13" customFormat="false" ht="15" hidden="false" customHeight="false" outlineLevel="0" collapsed="false">
      <c r="A13" s="62" t="str">
        <f aca="false">Assumptions!A36</f>
        <v>May 2027</v>
      </c>
      <c r="B13" s="62" t="s">
        <v>259</v>
      </c>
      <c r="C13" s="104" t="n">
        <f aca="false">Assumptions!B36</f>
        <v>0</v>
      </c>
      <c r="D13" s="105" t="n">
        <f aca="false">Assumptions!$B$123</f>
        <v>0.05</v>
      </c>
      <c r="E13" s="106" t="n">
        <f aca="false">1</f>
        <v>1</v>
      </c>
      <c r="F13" s="106" t="n">
        <f aca="false">C13*D13*Assumptions!$B$121*E13/12/10^7</f>
        <v>0</v>
      </c>
      <c r="G13" s="106" t="n">
        <f aca="false">-F13*Assumptions!$B$128*Assumptions!J36</f>
        <v>-0</v>
      </c>
      <c r="H13" s="107" t="n">
        <f aca="false">F13+G13</f>
        <v>0</v>
      </c>
      <c r="I13" s="106" t="n">
        <f aca="false">F13*Assumptions!$B$127</f>
        <v>0</v>
      </c>
      <c r="J13" s="106" t="n">
        <f aca="false">H13-I13</f>
        <v>0</v>
      </c>
      <c r="K13" s="106" t="n">
        <f aca="false">H13*Assumptions!$B$104/30.4</f>
        <v>0</v>
      </c>
      <c r="L13" s="106" t="n">
        <f aca="false">-(K13-K12)</f>
        <v>-0</v>
      </c>
      <c r="M13" s="107" t="n">
        <f aca="false">M12+J13+L13</f>
        <v>0</v>
      </c>
    </row>
    <row r="14" customFormat="false" ht="15" hidden="false" customHeight="false" outlineLevel="0" collapsed="false">
      <c r="A14" s="62" t="str">
        <f aca="false">Assumptions!A37</f>
        <v>Jun 2027</v>
      </c>
      <c r="B14" s="62" t="s">
        <v>259</v>
      </c>
      <c r="C14" s="104" t="n">
        <f aca="false">Assumptions!B37</f>
        <v>0</v>
      </c>
      <c r="D14" s="105" t="n">
        <f aca="false">Assumptions!$B$123</f>
        <v>0.05</v>
      </c>
      <c r="E14" s="106" t="n">
        <f aca="false">1</f>
        <v>1</v>
      </c>
      <c r="F14" s="106" t="n">
        <f aca="false">C14*D14*Assumptions!$B$121*E14/12/10^7</f>
        <v>0</v>
      </c>
      <c r="G14" s="106" t="n">
        <f aca="false">-F14*Assumptions!$B$128*Assumptions!J37</f>
        <v>-0</v>
      </c>
      <c r="H14" s="107" t="n">
        <f aca="false">F14+G14</f>
        <v>0</v>
      </c>
      <c r="I14" s="106" t="n">
        <f aca="false">F14*Assumptions!$B$127</f>
        <v>0</v>
      </c>
      <c r="J14" s="106" t="n">
        <f aca="false">H14-I14</f>
        <v>0</v>
      </c>
      <c r="K14" s="106" t="n">
        <f aca="false">H14*Assumptions!$B$104/30.4</f>
        <v>0</v>
      </c>
      <c r="L14" s="106" t="n">
        <f aca="false">-(K14-K13)</f>
        <v>-0</v>
      </c>
      <c r="M14" s="107" t="n">
        <f aca="false">M13+J14+L14</f>
        <v>0</v>
      </c>
    </row>
    <row r="15" customFormat="false" ht="15" hidden="false" customHeight="false" outlineLevel="0" collapsed="false">
      <c r="A15" s="62" t="str">
        <f aca="false">Assumptions!A38</f>
        <v>Jul 2027</v>
      </c>
      <c r="B15" s="62" t="s">
        <v>259</v>
      </c>
      <c r="C15" s="104" t="n">
        <f aca="false">Assumptions!B38</f>
        <v>3</v>
      </c>
      <c r="D15" s="105" t="n">
        <f aca="false">Assumptions!$B$123</f>
        <v>0.05</v>
      </c>
      <c r="E15" s="106" t="n">
        <f aca="false">1</f>
        <v>1</v>
      </c>
      <c r="F15" s="106" t="n">
        <f aca="false">C15*D15*Assumptions!$B$121*E15/12/10^7</f>
        <v>0.0001125</v>
      </c>
      <c r="G15" s="106" t="n">
        <f aca="false">-F15*Assumptions!$B$128*Assumptions!J38</f>
        <v>-0</v>
      </c>
      <c r="H15" s="107" t="n">
        <f aca="false">F15+G15</f>
        <v>0.0001125</v>
      </c>
      <c r="I15" s="106" t="n">
        <f aca="false">F15*Assumptions!$B$127</f>
        <v>1.6875E-005</v>
      </c>
      <c r="J15" s="106" t="n">
        <f aca="false">H15-I15</f>
        <v>9.5625E-005</v>
      </c>
      <c r="K15" s="106" t="n">
        <f aca="false">H15*Assumptions!$B$104/30.4</f>
        <v>0.000203536184210526</v>
      </c>
      <c r="L15" s="106" t="n">
        <f aca="false">-(K15-K14)</f>
        <v>-0.000203536184210526</v>
      </c>
      <c r="M15" s="107" t="n">
        <f aca="false">M14+J15+L15</f>
        <v>-0.000107911184210526</v>
      </c>
    </row>
    <row r="16" customFormat="false" ht="15" hidden="false" customHeight="false" outlineLevel="0" collapsed="false">
      <c r="A16" s="62" t="str">
        <f aca="false">Assumptions!A39</f>
        <v>Aug 2027</v>
      </c>
      <c r="B16" s="62" t="s">
        <v>259</v>
      </c>
      <c r="C16" s="104" t="n">
        <f aca="false">Assumptions!B39</f>
        <v>6</v>
      </c>
      <c r="D16" s="105" t="n">
        <f aca="false">Assumptions!$B$123</f>
        <v>0.05</v>
      </c>
      <c r="E16" s="106" t="n">
        <f aca="false">1</f>
        <v>1</v>
      </c>
      <c r="F16" s="106" t="n">
        <f aca="false">C16*D16*Assumptions!$B$121*E16/12/10^7</f>
        <v>0.000225</v>
      </c>
      <c r="G16" s="106" t="n">
        <f aca="false">-F16*Assumptions!$B$128*Assumptions!J39</f>
        <v>-0</v>
      </c>
      <c r="H16" s="107" t="n">
        <f aca="false">F16+G16</f>
        <v>0.000225</v>
      </c>
      <c r="I16" s="106" t="n">
        <f aca="false">F16*Assumptions!$B$127</f>
        <v>3.375E-005</v>
      </c>
      <c r="J16" s="106" t="n">
        <f aca="false">H16-I16</f>
        <v>0.00019125</v>
      </c>
      <c r="K16" s="106" t="n">
        <f aca="false">H16*Assumptions!$B$104/30.4</f>
        <v>0.000407072368421053</v>
      </c>
      <c r="L16" s="106" t="n">
        <f aca="false">-(K16-K15)</f>
        <v>-0.000203536184210526</v>
      </c>
      <c r="M16" s="107" t="n">
        <f aca="false">M15+J16+L16</f>
        <v>-0.000120197368421053</v>
      </c>
    </row>
    <row r="17" customFormat="false" ht="15" hidden="false" customHeight="false" outlineLevel="0" collapsed="false">
      <c r="A17" s="62" t="str">
        <f aca="false">Assumptions!A40</f>
        <v>Sep 2027</v>
      </c>
      <c r="B17" s="62" t="s">
        <v>259</v>
      </c>
      <c r="C17" s="104" t="n">
        <f aca="false">Assumptions!B40</f>
        <v>9</v>
      </c>
      <c r="D17" s="105" t="n">
        <f aca="false">Assumptions!$B$123</f>
        <v>0.05</v>
      </c>
      <c r="E17" s="106" t="n">
        <f aca="false">1</f>
        <v>1</v>
      </c>
      <c r="F17" s="106" t="n">
        <f aca="false">C17*D17*Assumptions!$B$121*E17/12/10^7</f>
        <v>0.0003375</v>
      </c>
      <c r="G17" s="106" t="n">
        <f aca="false">-F17*Assumptions!$B$128*Assumptions!J40</f>
        <v>-0</v>
      </c>
      <c r="H17" s="107" t="n">
        <f aca="false">F17+G17</f>
        <v>0.0003375</v>
      </c>
      <c r="I17" s="106" t="n">
        <f aca="false">F17*Assumptions!$B$127</f>
        <v>5.0625E-005</v>
      </c>
      <c r="J17" s="106" t="n">
        <f aca="false">H17-I17</f>
        <v>0.000286875</v>
      </c>
      <c r="K17" s="106" t="n">
        <f aca="false">H17*Assumptions!$B$104/30.4</f>
        <v>0.000610608552631579</v>
      </c>
      <c r="L17" s="106" t="n">
        <f aca="false">-(K17-K16)</f>
        <v>-0.000203536184210526</v>
      </c>
      <c r="M17" s="107" t="n">
        <f aca="false">M16+J17+L17</f>
        <v>-3.6858552631579E-005</v>
      </c>
    </row>
    <row r="18" customFormat="false" ht="15" hidden="false" customHeight="false" outlineLevel="0" collapsed="false">
      <c r="A18" s="62" t="str">
        <f aca="false">Assumptions!A41</f>
        <v>Oct 2027</v>
      </c>
      <c r="B18" s="62" t="s">
        <v>259</v>
      </c>
      <c r="C18" s="104" t="n">
        <f aca="false">Assumptions!B41</f>
        <v>13</v>
      </c>
      <c r="D18" s="105" t="n">
        <f aca="false">Assumptions!$B$123</f>
        <v>0.05</v>
      </c>
      <c r="E18" s="106" t="n">
        <f aca="false">1</f>
        <v>1</v>
      </c>
      <c r="F18" s="106" t="n">
        <f aca="false">C18*D18*Assumptions!$B$121*E18/12/10^7</f>
        <v>0.0004875</v>
      </c>
      <c r="G18" s="106" t="n">
        <f aca="false">-F18*Assumptions!$B$128*Assumptions!J41</f>
        <v>-0</v>
      </c>
      <c r="H18" s="107" t="n">
        <f aca="false">F18+G18</f>
        <v>0.0004875</v>
      </c>
      <c r="I18" s="106" t="n">
        <f aca="false">F18*Assumptions!$B$127</f>
        <v>7.3125E-005</v>
      </c>
      <c r="J18" s="106" t="n">
        <f aca="false">H18-I18</f>
        <v>0.000414375</v>
      </c>
      <c r="K18" s="106" t="n">
        <f aca="false">H18*Assumptions!$B$104/30.4</f>
        <v>0.000881990131578947</v>
      </c>
      <c r="L18" s="106" t="n">
        <f aca="false">-(K18-K17)</f>
        <v>-0.000271381578947368</v>
      </c>
      <c r="M18" s="107" t="n">
        <f aca="false">M17+J18+L18</f>
        <v>0.000106134868421053</v>
      </c>
    </row>
    <row r="19" customFormat="false" ht="15" hidden="false" customHeight="false" outlineLevel="0" collapsed="false">
      <c r="A19" s="62" t="str">
        <f aca="false">Assumptions!A42</f>
        <v>Nov 2027</v>
      </c>
      <c r="B19" s="62" t="s">
        <v>259</v>
      </c>
      <c r="C19" s="104" t="n">
        <f aca="false">Assumptions!B42</f>
        <v>17</v>
      </c>
      <c r="D19" s="105" t="n">
        <f aca="false">Assumptions!$B$123</f>
        <v>0.05</v>
      </c>
      <c r="E19" s="106" t="n">
        <f aca="false">1</f>
        <v>1</v>
      </c>
      <c r="F19" s="106" t="n">
        <f aca="false">C19*D19*Assumptions!$B$121*E19/12/10^7</f>
        <v>0.0006375</v>
      </c>
      <c r="G19" s="106" t="n">
        <f aca="false">-F19*Assumptions!$B$128*Assumptions!J42</f>
        <v>-0</v>
      </c>
      <c r="H19" s="107" t="n">
        <f aca="false">F19+G19</f>
        <v>0.0006375</v>
      </c>
      <c r="I19" s="106" t="n">
        <f aca="false">F19*Assumptions!$B$127</f>
        <v>9.5625E-005</v>
      </c>
      <c r="J19" s="106" t="n">
        <f aca="false">H19-I19</f>
        <v>0.000541875</v>
      </c>
      <c r="K19" s="106" t="n">
        <f aca="false">H19*Assumptions!$B$104/30.4</f>
        <v>0.00115337171052632</v>
      </c>
      <c r="L19" s="106" t="n">
        <f aca="false">-(K19-K18)</f>
        <v>-0.000271381578947369</v>
      </c>
      <c r="M19" s="107" t="n">
        <f aca="false">M18+J19+L19</f>
        <v>0.000376628289473684</v>
      </c>
    </row>
    <row r="20" customFormat="false" ht="15" hidden="false" customHeight="false" outlineLevel="0" collapsed="false">
      <c r="A20" s="62" t="str">
        <f aca="false">Assumptions!A43</f>
        <v>Dec 2027</v>
      </c>
      <c r="B20" s="62" t="s">
        <v>259</v>
      </c>
      <c r="C20" s="104" t="n">
        <f aca="false">Assumptions!B43</f>
        <v>21</v>
      </c>
      <c r="D20" s="105" t="n">
        <f aca="false">Assumptions!$B$123</f>
        <v>0.05</v>
      </c>
      <c r="E20" s="106" t="n">
        <f aca="false">1</f>
        <v>1</v>
      </c>
      <c r="F20" s="106" t="n">
        <f aca="false">C20*D20*Assumptions!$B$121*E20/12/10^7</f>
        <v>0.0007875</v>
      </c>
      <c r="G20" s="106" t="n">
        <f aca="false">-F20*Assumptions!$B$128*Assumptions!J43</f>
        <v>-2.835E-006</v>
      </c>
      <c r="H20" s="107" t="n">
        <f aca="false">F20+G20</f>
        <v>0.000784665</v>
      </c>
      <c r="I20" s="106" t="n">
        <f aca="false">F20*Assumptions!$B$127</f>
        <v>0.000118125</v>
      </c>
      <c r="J20" s="106" t="n">
        <f aca="false">H20-I20</f>
        <v>0.00066654</v>
      </c>
      <c r="K20" s="106" t="n">
        <f aca="false">H20*Assumptions!$B$104/30.4</f>
        <v>0.00141962417763158</v>
      </c>
      <c r="L20" s="106" t="n">
        <f aca="false">-(K20-K19)</f>
        <v>-0.000266252467105263</v>
      </c>
      <c r="M20" s="107" t="n">
        <f aca="false">M19+J20+L20</f>
        <v>0.000776915822368421</v>
      </c>
    </row>
    <row r="21" customFormat="false" ht="15" hidden="false" customHeight="false" outlineLevel="0" collapsed="false">
      <c r="A21" s="62" t="str">
        <f aca="false">Assumptions!A44</f>
        <v>Jan 2028</v>
      </c>
      <c r="B21" s="62" t="s">
        <v>259</v>
      </c>
      <c r="C21" s="104" t="n">
        <f aca="false">Assumptions!B44</f>
        <v>27</v>
      </c>
      <c r="D21" s="105" t="n">
        <f aca="false">Assumptions!$B$123</f>
        <v>0.05</v>
      </c>
      <c r="E21" s="106" t="n">
        <f aca="false">1</f>
        <v>1</v>
      </c>
      <c r="F21" s="106" t="n">
        <f aca="false">C21*D21*Assumptions!$B$121*E21/12/10^7</f>
        <v>0.0010125</v>
      </c>
      <c r="G21" s="106" t="n">
        <f aca="false">-F21*Assumptions!$B$128*Assumptions!J44</f>
        <v>-7.29E-006</v>
      </c>
      <c r="H21" s="107" t="n">
        <f aca="false">F21+G21</f>
        <v>0.00100521</v>
      </c>
      <c r="I21" s="106" t="n">
        <f aca="false">F21*Assumptions!$B$127</f>
        <v>0.000151875</v>
      </c>
      <c r="J21" s="106" t="n">
        <f aca="false">H21-I21</f>
        <v>0.000853335</v>
      </c>
      <c r="K21" s="106" t="n">
        <f aca="false">H21*Assumptions!$B$104/30.4</f>
        <v>0.00181863651315789</v>
      </c>
      <c r="L21" s="106" t="n">
        <f aca="false">-(K21-K20)</f>
        <v>-0.000399012335526316</v>
      </c>
      <c r="M21" s="107" t="n">
        <f aca="false">M20+J21+L21</f>
        <v>0.00123123848684211</v>
      </c>
    </row>
    <row r="22" customFormat="false" ht="15" hidden="false" customHeight="false" outlineLevel="0" collapsed="false">
      <c r="A22" s="62" t="str">
        <f aca="false">Assumptions!A45</f>
        <v>Feb 2028</v>
      </c>
      <c r="B22" s="62" t="s">
        <v>259</v>
      </c>
      <c r="C22" s="104" t="n">
        <f aca="false">Assumptions!B45</f>
        <v>33</v>
      </c>
      <c r="D22" s="105" t="n">
        <f aca="false">Assumptions!$B$123</f>
        <v>0.05</v>
      </c>
      <c r="E22" s="106" t="n">
        <f aca="false">1</f>
        <v>1</v>
      </c>
      <c r="F22" s="106" t="n">
        <f aca="false">C22*D22*Assumptions!$B$121*E22/12/10^7</f>
        <v>0.0012375</v>
      </c>
      <c r="G22" s="106" t="n">
        <f aca="false">-F22*Assumptions!$B$128*Assumptions!J45</f>
        <v>-1.3365E-005</v>
      </c>
      <c r="H22" s="107" t="n">
        <f aca="false">F22+G22</f>
        <v>0.001224135</v>
      </c>
      <c r="I22" s="106" t="n">
        <f aca="false">F22*Assumptions!$B$127</f>
        <v>0.000185625</v>
      </c>
      <c r="J22" s="106" t="n">
        <f aca="false">H22-I22</f>
        <v>0.00103851</v>
      </c>
      <c r="K22" s="106" t="n">
        <f aca="false">H22*Assumptions!$B$104/30.4</f>
        <v>0.00221471792763158</v>
      </c>
      <c r="L22" s="106" t="n">
        <f aca="false">-(K22-K21)</f>
        <v>-0.000396081414473685</v>
      </c>
      <c r="M22" s="107" t="n">
        <f aca="false">M21+J22+L22</f>
        <v>0.00187366707236842</v>
      </c>
    </row>
    <row r="23" customFormat="false" ht="15" hidden="false" customHeight="false" outlineLevel="0" collapsed="false">
      <c r="A23" s="62" t="str">
        <f aca="false">Assumptions!A46</f>
        <v>Mar 2028</v>
      </c>
      <c r="B23" s="62" t="s">
        <v>259</v>
      </c>
      <c r="C23" s="104" t="n">
        <f aca="false">Assumptions!B46</f>
        <v>39</v>
      </c>
      <c r="D23" s="105" t="n">
        <f aca="false">Assumptions!$B$123</f>
        <v>0.05</v>
      </c>
      <c r="E23" s="106" t="n">
        <f aca="false">1</f>
        <v>1</v>
      </c>
      <c r="F23" s="106" t="n">
        <f aca="false">C23*D23*Assumptions!$B$121*E23/12/10^7</f>
        <v>0.0014625</v>
      </c>
      <c r="G23" s="106" t="n">
        <f aca="false">-F23*Assumptions!$B$128*Assumptions!J46</f>
        <v>-2.106E-005</v>
      </c>
      <c r="H23" s="107" t="n">
        <f aca="false">F23+G23</f>
        <v>0.00144144</v>
      </c>
      <c r="I23" s="106" t="n">
        <f aca="false">F23*Assumptions!$B$127</f>
        <v>0.000219375</v>
      </c>
      <c r="J23" s="106" t="n">
        <f aca="false">H23-I23</f>
        <v>0.001222065</v>
      </c>
      <c r="K23" s="106" t="n">
        <f aca="false">H23*Assumptions!$B$104/30.4</f>
        <v>0.00260786842105263</v>
      </c>
      <c r="L23" s="106" t="n">
        <f aca="false">-(K23-K22)</f>
        <v>-0.000393150493421053</v>
      </c>
      <c r="M23" s="107" t="n">
        <f aca="false">M22+J23+L23</f>
        <v>0.00270258157894737</v>
      </c>
    </row>
    <row r="24" customFormat="false" ht="15" hidden="false" customHeight="false" outlineLevel="0" collapsed="false">
      <c r="A24" s="62" t="str">
        <f aca="false">Assumptions!A47</f>
        <v>Apr 2028</v>
      </c>
      <c r="B24" s="62" t="s">
        <v>260</v>
      </c>
      <c r="C24" s="104" t="n">
        <f aca="false">Assumptions!B47</f>
        <v>46</v>
      </c>
      <c r="D24" s="105" t="n">
        <f aca="false">Assumptions!$B$124</f>
        <v>0.1</v>
      </c>
      <c r="E24" s="106" t="n">
        <f aca="false">1</f>
        <v>1</v>
      </c>
      <c r="F24" s="106" t="n">
        <f aca="false">C24*D24*Assumptions!$B$121*E24/12/10^7</f>
        <v>0.00345</v>
      </c>
      <c r="G24" s="106" t="n">
        <f aca="false">-F24*Assumptions!$B$128*Assumptions!J47</f>
        <v>-6.0237E-005</v>
      </c>
      <c r="H24" s="107" t="n">
        <f aca="false">F24+G24</f>
        <v>0.003389763</v>
      </c>
      <c r="I24" s="106" t="n">
        <f aca="false">F24*Assumptions!$B$127</f>
        <v>0.0005175</v>
      </c>
      <c r="J24" s="106" t="n">
        <f aca="false">H24-I24</f>
        <v>0.002872263</v>
      </c>
      <c r="K24" s="106" t="n">
        <f aca="false">H24*Assumptions!$B$104/30.4</f>
        <v>0.00613279490131579</v>
      </c>
      <c r="L24" s="106" t="n">
        <f aca="false">-(K24-K23)</f>
        <v>-0.00352492648026316</v>
      </c>
      <c r="M24" s="107" t="n">
        <f aca="false">M23+J24+L24</f>
        <v>0.00204991809868421</v>
      </c>
    </row>
    <row r="25" customFormat="false" ht="15" hidden="false" customHeight="false" outlineLevel="0" collapsed="false">
      <c r="A25" s="62" t="str">
        <f aca="false">Assumptions!A48</f>
        <v>May 2028</v>
      </c>
      <c r="B25" s="62" t="s">
        <v>260</v>
      </c>
      <c r="C25" s="104" t="n">
        <f aca="false">Assumptions!B48</f>
        <v>52</v>
      </c>
      <c r="D25" s="105" t="n">
        <f aca="false">Assumptions!$B$124</f>
        <v>0.1</v>
      </c>
      <c r="E25" s="106" t="n">
        <f aca="false">1</f>
        <v>1</v>
      </c>
      <c r="F25" s="106" t="n">
        <f aca="false">C25*D25*Assumptions!$B$121*E25/12/10^7</f>
        <v>0.0039</v>
      </c>
      <c r="G25" s="106" t="n">
        <f aca="false">-F25*Assumptions!$B$128*Assumptions!J48</f>
        <v>-7.9326E-005</v>
      </c>
      <c r="H25" s="107" t="n">
        <f aca="false">F25+G25</f>
        <v>0.003820674</v>
      </c>
      <c r="I25" s="106" t="n">
        <f aca="false">F25*Assumptions!$B$127</f>
        <v>0.000585</v>
      </c>
      <c r="J25" s="106" t="n">
        <f aca="false">H25-I25</f>
        <v>0.003235674</v>
      </c>
      <c r="K25" s="106" t="n">
        <f aca="false">H25*Assumptions!$B$104/30.4</f>
        <v>0.00691240361842105</v>
      </c>
      <c r="L25" s="106" t="n">
        <f aca="false">-(K25-K24)</f>
        <v>-0.000779608717105263</v>
      </c>
      <c r="M25" s="107" t="n">
        <f aca="false">M24+J25+L25</f>
        <v>0.00450598338157895</v>
      </c>
    </row>
    <row r="26" customFormat="false" ht="15" hidden="false" customHeight="false" outlineLevel="0" collapsed="false">
      <c r="A26" s="62" t="str">
        <f aca="false">Assumptions!A49</f>
        <v>Jun 2028</v>
      </c>
      <c r="B26" s="62" t="s">
        <v>260</v>
      </c>
      <c r="C26" s="104" t="n">
        <f aca="false">Assumptions!B49</f>
        <v>59</v>
      </c>
      <c r="D26" s="105" t="n">
        <f aca="false">Assumptions!$B$124</f>
        <v>0.1</v>
      </c>
      <c r="E26" s="106" t="n">
        <f aca="false">1</f>
        <v>1</v>
      </c>
      <c r="F26" s="106" t="n">
        <f aca="false">C26*D26*Assumptions!$B$121*E26/12/10^7</f>
        <v>0.004425</v>
      </c>
      <c r="G26" s="106" t="n">
        <f aca="false">-F26*Assumptions!$B$128*Assumptions!J49</f>
        <v>-0.000103545</v>
      </c>
      <c r="H26" s="107" t="n">
        <f aca="false">F26+G26</f>
        <v>0.004321455</v>
      </c>
      <c r="I26" s="106" t="n">
        <f aca="false">F26*Assumptions!$B$127</f>
        <v>0.00066375</v>
      </c>
      <c r="J26" s="106" t="n">
        <f aca="false">H26-I26</f>
        <v>0.003657705</v>
      </c>
      <c r="K26" s="106" t="n">
        <f aca="false">H26*Assumptions!$B$104/30.4</f>
        <v>0.007818421875</v>
      </c>
      <c r="L26" s="106" t="n">
        <f aca="false">-(K26-K25)</f>
        <v>-0.000906018256578947</v>
      </c>
      <c r="M26" s="107" t="n">
        <f aca="false">M25+J26+L26</f>
        <v>0.007257670125</v>
      </c>
    </row>
    <row r="27" customFormat="false" ht="15" hidden="false" customHeight="false" outlineLevel="0" collapsed="false">
      <c r="A27" s="62" t="str">
        <f aca="false">Assumptions!A50</f>
        <v>Jul 2028</v>
      </c>
      <c r="B27" s="62" t="s">
        <v>260</v>
      </c>
      <c r="C27" s="104" t="n">
        <f aca="false">Assumptions!B50</f>
        <v>67</v>
      </c>
      <c r="D27" s="105" t="n">
        <f aca="false">Assumptions!$B$124</f>
        <v>0.1</v>
      </c>
      <c r="E27" s="106" t="n">
        <f aca="false">1</f>
        <v>1</v>
      </c>
      <c r="F27" s="106" t="n">
        <f aca="false">C27*D27*Assumptions!$B$121*E27/12/10^7</f>
        <v>0.005025</v>
      </c>
      <c r="G27" s="106" t="n">
        <f aca="false">-F27*Assumptions!$B$128*Assumptions!J50</f>
        <v>-0.0001329615</v>
      </c>
      <c r="H27" s="107" t="n">
        <f aca="false">F27+G27</f>
        <v>0.0048920385</v>
      </c>
      <c r="I27" s="106" t="n">
        <f aca="false">F27*Assumptions!$B$127</f>
        <v>0.00075375</v>
      </c>
      <c r="J27" s="106" t="n">
        <f aca="false">H27-I27</f>
        <v>0.0041382885</v>
      </c>
      <c r="K27" s="106" t="n">
        <f aca="false">H27*Assumptions!$B$104/30.4</f>
        <v>0.00885072754934211</v>
      </c>
      <c r="L27" s="106" t="n">
        <f aca="false">-(K27-K26)</f>
        <v>-0.00103230567434211</v>
      </c>
      <c r="M27" s="107" t="n">
        <f aca="false">M26+J27+L27</f>
        <v>0.0103636529506579</v>
      </c>
    </row>
    <row r="28" customFormat="false" ht="15" hidden="false" customHeight="false" outlineLevel="0" collapsed="false">
      <c r="A28" s="62" t="str">
        <f aca="false">Assumptions!A51</f>
        <v>Aug 2028</v>
      </c>
      <c r="B28" s="62" t="s">
        <v>260</v>
      </c>
      <c r="C28" s="104" t="n">
        <f aca="false">Assumptions!B51</f>
        <v>76</v>
      </c>
      <c r="D28" s="105" t="n">
        <f aca="false">Assumptions!$B$124</f>
        <v>0.1</v>
      </c>
      <c r="E28" s="106" t="n">
        <f aca="false">1</f>
        <v>1</v>
      </c>
      <c r="F28" s="106" t="n">
        <f aca="false">C28*D28*Assumptions!$B$121*E28/12/10^7</f>
        <v>0.0057</v>
      </c>
      <c r="G28" s="106" t="n">
        <f aca="false">-F28*Assumptions!$B$128*Assumptions!J51</f>
        <v>-0.000167238</v>
      </c>
      <c r="H28" s="107" t="n">
        <f aca="false">F28+G28</f>
        <v>0.005532762</v>
      </c>
      <c r="I28" s="106" t="n">
        <f aca="false">F28*Assumptions!$B$127</f>
        <v>0.000855</v>
      </c>
      <c r="J28" s="106" t="n">
        <f aca="false">H28-I28</f>
        <v>0.004677762</v>
      </c>
      <c r="K28" s="106" t="n">
        <f aca="false">H28*Assumptions!$B$104/30.4</f>
        <v>0.01000993125</v>
      </c>
      <c r="L28" s="106" t="n">
        <f aca="false">-(K28-K27)</f>
        <v>-0.00115920370065789</v>
      </c>
      <c r="M28" s="107" t="n">
        <f aca="false">M27+J28+L28</f>
        <v>0.01388221125</v>
      </c>
    </row>
    <row r="29" customFormat="false" ht="15" hidden="false" customHeight="false" outlineLevel="0" collapsed="false">
      <c r="A29" s="62" t="str">
        <f aca="false">Assumptions!A52</f>
        <v>Sep 2028</v>
      </c>
      <c r="B29" s="62" t="s">
        <v>260</v>
      </c>
      <c r="C29" s="104" t="n">
        <f aca="false">Assumptions!B52</f>
        <v>84</v>
      </c>
      <c r="D29" s="105" t="n">
        <f aca="false">Assumptions!$B$124</f>
        <v>0.1</v>
      </c>
      <c r="E29" s="106" t="n">
        <f aca="false">1</f>
        <v>1</v>
      </c>
      <c r="F29" s="106" t="n">
        <f aca="false">C29*D29*Assumptions!$B$121*E29/12/10^7</f>
        <v>0.0063</v>
      </c>
      <c r="G29" s="106" t="n">
        <f aca="false">-F29*Assumptions!$B$128*Assumptions!J52</f>
        <v>-0.00020412</v>
      </c>
      <c r="H29" s="107" t="n">
        <f aca="false">F29+G29</f>
        <v>0.00609588</v>
      </c>
      <c r="I29" s="106" t="n">
        <f aca="false">F29*Assumptions!$B$127</f>
        <v>0.000945</v>
      </c>
      <c r="J29" s="106" t="n">
        <f aca="false">H29-I29</f>
        <v>0.00515088</v>
      </c>
      <c r="K29" s="106" t="n">
        <f aca="false">H29*Assumptions!$B$104/30.4</f>
        <v>0.0110287302631579</v>
      </c>
      <c r="L29" s="106" t="n">
        <f aca="false">-(K29-K28)</f>
        <v>-0.00101879901315789</v>
      </c>
      <c r="M29" s="107" t="n">
        <f aca="false">M28+J29+L29</f>
        <v>0.0180142922368421</v>
      </c>
    </row>
    <row r="30" customFormat="false" ht="15" hidden="false" customHeight="false" outlineLevel="0" collapsed="false">
      <c r="A30" s="62" t="str">
        <f aca="false">Assumptions!A53</f>
        <v>Oct 2028</v>
      </c>
      <c r="B30" s="62" t="s">
        <v>260</v>
      </c>
      <c r="C30" s="104" t="n">
        <f aca="false">Assumptions!B53</f>
        <v>94</v>
      </c>
      <c r="D30" s="105" t="n">
        <f aca="false">Assumptions!$B$124</f>
        <v>0.1</v>
      </c>
      <c r="E30" s="106" t="n">
        <f aca="false">1</f>
        <v>1</v>
      </c>
      <c r="F30" s="106" t="n">
        <f aca="false">C30*D30*Assumptions!$B$121*E30/12/10^7</f>
        <v>0.00705</v>
      </c>
      <c r="G30" s="106" t="n">
        <f aca="false">-F30*Assumptions!$B$128*Assumptions!J53</f>
        <v>-0.000244917</v>
      </c>
      <c r="H30" s="107" t="n">
        <f aca="false">F30+G30</f>
        <v>0.006805083</v>
      </c>
      <c r="I30" s="106" t="n">
        <f aca="false">F30*Assumptions!$B$127</f>
        <v>0.0010575</v>
      </c>
      <c r="J30" s="106" t="n">
        <f aca="false">H30-I30</f>
        <v>0.005747583</v>
      </c>
      <c r="K30" s="106" t="n">
        <f aca="false">H30*Assumptions!$B$104/30.4</f>
        <v>0.0123118277960526</v>
      </c>
      <c r="L30" s="106" t="n">
        <f aca="false">-(K30-K29)</f>
        <v>-0.00128309753289474</v>
      </c>
      <c r="M30" s="107" t="n">
        <f aca="false">M29+J30+L30</f>
        <v>0.0224787777039474</v>
      </c>
    </row>
    <row r="31" customFormat="false" ht="15" hidden="false" customHeight="false" outlineLevel="0" collapsed="false">
      <c r="A31" s="62" t="str">
        <f aca="false">Assumptions!A54</f>
        <v>Nov 2028</v>
      </c>
      <c r="B31" s="62" t="s">
        <v>260</v>
      </c>
      <c r="C31" s="104" t="n">
        <f aca="false">Assumptions!B54</f>
        <v>104</v>
      </c>
      <c r="D31" s="105" t="n">
        <f aca="false">Assumptions!$B$124</f>
        <v>0.1</v>
      </c>
      <c r="E31" s="106" t="n">
        <f aca="false">1</f>
        <v>1</v>
      </c>
      <c r="F31" s="106" t="n">
        <f aca="false">C31*D31*Assumptions!$B$121*E31/12/10^7</f>
        <v>0.0078</v>
      </c>
      <c r="G31" s="106" t="n">
        <f aca="false">-F31*Assumptions!$B$128*Assumptions!J54</f>
        <v>-0.000290628</v>
      </c>
      <c r="H31" s="107" t="n">
        <f aca="false">F31+G31</f>
        <v>0.007509372</v>
      </c>
      <c r="I31" s="106" t="n">
        <f aca="false">F31*Assumptions!$B$127</f>
        <v>0.00117</v>
      </c>
      <c r="J31" s="106" t="n">
        <f aca="false">H31-I31</f>
        <v>0.006339372</v>
      </c>
      <c r="K31" s="106" t="n">
        <f aca="false">H31*Assumptions!$B$104/30.4</f>
        <v>0.0135860348684211</v>
      </c>
      <c r="L31" s="106" t="n">
        <f aca="false">-(K31-K30)</f>
        <v>-0.00127420707236842</v>
      </c>
      <c r="M31" s="107" t="n">
        <f aca="false">M30+J31+L31</f>
        <v>0.027543942631579</v>
      </c>
    </row>
    <row r="32" customFormat="false" ht="15" hidden="false" customHeight="false" outlineLevel="0" collapsed="false">
      <c r="A32" s="62" t="str">
        <f aca="false">Assumptions!A55</f>
        <v>Dec 2028</v>
      </c>
      <c r="B32" s="62" t="s">
        <v>260</v>
      </c>
      <c r="C32" s="104" t="n">
        <f aca="false">Assumptions!B55</f>
        <v>114</v>
      </c>
      <c r="D32" s="105" t="n">
        <f aca="false">Assumptions!$B$124</f>
        <v>0.1</v>
      </c>
      <c r="E32" s="106" t="n">
        <f aca="false">1</f>
        <v>1</v>
      </c>
      <c r="F32" s="106" t="n">
        <f aca="false">C32*D32*Assumptions!$B$121*E32/12/10^7</f>
        <v>0.00855</v>
      </c>
      <c r="G32" s="106" t="n">
        <f aca="false">-F32*Assumptions!$B$128*Assumptions!J55</f>
        <v>-0.00033858</v>
      </c>
      <c r="H32" s="107" t="n">
        <f aca="false">F32+G32</f>
        <v>0.00821142</v>
      </c>
      <c r="I32" s="106" t="n">
        <f aca="false">F32*Assumptions!$B$127</f>
        <v>0.0012825</v>
      </c>
      <c r="J32" s="106" t="n">
        <f aca="false">H32-I32</f>
        <v>0.00692892</v>
      </c>
      <c r="K32" s="106" t="n">
        <f aca="false">H32*Assumptions!$B$104/30.4</f>
        <v>0.0148561875</v>
      </c>
      <c r="L32" s="106" t="n">
        <f aca="false">-(K32-K31)</f>
        <v>-0.00127015263157895</v>
      </c>
      <c r="M32" s="107" t="n">
        <f aca="false">M31+J32+L32</f>
        <v>0.03320271</v>
      </c>
    </row>
    <row r="33" customFormat="false" ht="15" hidden="false" customHeight="false" outlineLevel="0" collapsed="false">
      <c r="A33" s="62" t="str">
        <f aca="false">Assumptions!A56</f>
        <v>Jan 2029</v>
      </c>
      <c r="B33" s="62" t="s">
        <v>260</v>
      </c>
      <c r="C33" s="104" t="n">
        <f aca="false">Assumptions!B56</f>
        <v>125</v>
      </c>
      <c r="D33" s="105" t="n">
        <f aca="false">Assumptions!$B$124</f>
        <v>0.1</v>
      </c>
      <c r="E33" s="106" t="n">
        <f aca="false">1</f>
        <v>1</v>
      </c>
      <c r="F33" s="106" t="n">
        <f aca="false">C33*D33*Assumptions!$B$121*E33/12/10^7</f>
        <v>0.009375</v>
      </c>
      <c r="G33" s="106" t="n">
        <f aca="false">-F33*Assumptions!$B$128*Assumptions!J56</f>
        <v>-0.0003931875</v>
      </c>
      <c r="H33" s="107" t="n">
        <f aca="false">F33+G33</f>
        <v>0.0089818125</v>
      </c>
      <c r="I33" s="106" t="n">
        <f aca="false">F33*Assumptions!$B$127</f>
        <v>0.00140625</v>
      </c>
      <c r="J33" s="106" t="n">
        <f aca="false">H33-I33</f>
        <v>0.0075755625</v>
      </c>
      <c r="K33" s="106" t="n">
        <f aca="false">H33*Assumptions!$B$104/30.4</f>
        <v>0.0162499897203947</v>
      </c>
      <c r="L33" s="106" t="n">
        <f aca="false">-(K33-K32)</f>
        <v>-0.00139380222039474</v>
      </c>
      <c r="M33" s="107" t="n">
        <f aca="false">M32+J33+L33</f>
        <v>0.0393844702796053</v>
      </c>
    </row>
    <row r="34" customFormat="false" ht="15" hidden="false" customHeight="false" outlineLevel="0" collapsed="false">
      <c r="A34" s="62" t="str">
        <f aca="false">Assumptions!A57</f>
        <v>Feb 2029</v>
      </c>
      <c r="B34" s="62" t="s">
        <v>260</v>
      </c>
      <c r="C34" s="104" t="n">
        <f aca="false">Assumptions!B57</f>
        <v>137</v>
      </c>
      <c r="D34" s="105" t="n">
        <f aca="false">Assumptions!$B$124</f>
        <v>0.1</v>
      </c>
      <c r="E34" s="106" t="n">
        <f aca="false">1</f>
        <v>1</v>
      </c>
      <c r="F34" s="106" t="n">
        <f aca="false">C34*D34*Assumptions!$B$121*E34/12/10^7</f>
        <v>0.010275</v>
      </c>
      <c r="G34" s="106" t="n">
        <f aca="false">-F34*Assumptions!$B$128*Assumptions!J57</f>
        <v>-0.0004568265</v>
      </c>
      <c r="H34" s="107" t="n">
        <f aca="false">F34+G34</f>
        <v>0.0098181735</v>
      </c>
      <c r="I34" s="106" t="n">
        <f aca="false">F34*Assumptions!$B$127</f>
        <v>0.00154125</v>
      </c>
      <c r="J34" s="106" t="n">
        <f aca="false">H34-I34</f>
        <v>0.0082769235</v>
      </c>
      <c r="K34" s="106" t="n">
        <f aca="false">H34*Assumptions!$B$104/30.4</f>
        <v>0.0177631428453947</v>
      </c>
      <c r="L34" s="106" t="n">
        <f aca="false">-(K34-K33)</f>
        <v>-0.001513153125</v>
      </c>
      <c r="M34" s="107" t="n">
        <f aca="false">M33+J34+L34</f>
        <v>0.0461482406546053</v>
      </c>
    </row>
    <row r="35" customFormat="false" ht="15" hidden="false" customHeight="false" outlineLevel="0" collapsed="false">
      <c r="A35" s="62" t="str">
        <f aca="false">Assumptions!A58</f>
        <v>Mar 2029</v>
      </c>
      <c r="B35" s="62" t="s">
        <v>260</v>
      </c>
      <c r="C35" s="104" t="n">
        <f aca="false">Assumptions!B58</f>
        <v>148</v>
      </c>
      <c r="D35" s="105" t="n">
        <f aca="false">Assumptions!$B$124</f>
        <v>0.1</v>
      </c>
      <c r="E35" s="106" t="n">
        <f aca="false">1</f>
        <v>1</v>
      </c>
      <c r="F35" s="106" t="n">
        <f aca="false">C35*D35*Assumptions!$B$121*E35/12/10^7</f>
        <v>0.0111</v>
      </c>
      <c r="G35" s="106" t="n">
        <f aca="false">-F35*Assumptions!$B$128*Assumptions!J58</f>
        <v>-0.00051948</v>
      </c>
      <c r="H35" s="107" t="n">
        <f aca="false">F35+G35</f>
        <v>0.01058052</v>
      </c>
      <c r="I35" s="106" t="n">
        <f aca="false">F35*Assumptions!$B$127</f>
        <v>0.001665</v>
      </c>
      <c r="J35" s="106" t="n">
        <f aca="false">H35-I35</f>
        <v>0.00891552</v>
      </c>
      <c r="K35" s="106" t="n">
        <f aca="false">H35*Assumptions!$B$104/30.4</f>
        <v>0.0191423881578947</v>
      </c>
      <c r="L35" s="106" t="n">
        <f aca="false">-(K35-K34)</f>
        <v>-0.0013792453125</v>
      </c>
      <c r="M35" s="107" t="n">
        <f aca="false">M34+J35+L35</f>
        <v>0.0536845153421053</v>
      </c>
    </row>
    <row r="36" customFormat="false" ht="15" hidden="false" customHeight="false" outlineLevel="0" collapsed="false">
      <c r="A36" s="62" t="str">
        <f aca="false">Assumptions!A59</f>
        <v>Apr 2029</v>
      </c>
      <c r="B36" s="62" t="s">
        <v>261</v>
      </c>
      <c r="C36" s="104" t="n">
        <f aca="false">Assumptions!B59</f>
        <v>161</v>
      </c>
      <c r="D36" s="105" t="n">
        <f aca="false">Assumptions!$B$125</f>
        <v>0.15</v>
      </c>
      <c r="E36" s="106" t="n">
        <f aca="false">(1+Assumptions!$B$129)</f>
        <v>1.04</v>
      </c>
      <c r="F36" s="106" t="n">
        <f aca="false">C36*D36*Assumptions!$B$121*E36/12/10^7</f>
        <v>0.018837</v>
      </c>
      <c r="G36" s="106" t="n">
        <f aca="false">-F36*Assumptions!$B$128*Assumptions!J59</f>
        <v>-0.00092225952</v>
      </c>
      <c r="H36" s="107" t="n">
        <f aca="false">F36+G36</f>
        <v>0.01791474048</v>
      </c>
      <c r="I36" s="106" t="n">
        <f aca="false">F36*Assumptions!$B$127</f>
        <v>0.00282555</v>
      </c>
      <c r="J36" s="106" t="n">
        <f aca="false">H36-I36</f>
        <v>0.01508919048</v>
      </c>
      <c r="K36" s="106" t="n">
        <f aca="false">H36*Assumptions!$B$104/30.4</f>
        <v>0.0324115370526316</v>
      </c>
      <c r="L36" s="106" t="n">
        <f aca="false">-(K36-K35)</f>
        <v>-0.0132691488947368</v>
      </c>
      <c r="M36" s="107" t="n">
        <f aca="false">M35+J36+L36</f>
        <v>0.0555045569273684</v>
      </c>
    </row>
    <row r="37" customFormat="false" ht="15" hidden="false" customHeight="false" outlineLevel="0" collapsed="false">
      <c r="A37" s="62" t="str">
        <f aca="false">Assumptions!A60</f>
        <v>May 2029</v>
      </c>
      <c r="B37" s="62" t="s">
        <v>261</v>
      </c>
      <c r="C37" s="104" t="n">
        <f aca="false">Assumptions!B60</f>
        <v>173</v>
      </c>
      <c r="D37" s="105" t="n">
        <f aca="false">Assumptions!$B$125</f>
        <v>0.15</v>
      </c>
      <c r="E37" s="106" t="n">
        <f aca="false">(1+Assumptions!$B$129)</f>
        <v>1.04</v>
      </c>
      <c r="F37" s="106" t="n">
        <f aca="false">C37*D37*Assumptions!$B$121*E37/12/10^7</f>
        <v>0.020241</v>
      </c>
      <c r="G37" s="106" t="n">
        <f aca="false">-F37*Assumptions!$B$128*Assumptions!J60</f>
        <v>-0.00103107654</v>
      </c>
      <c r="H37" s="107" t="n">
        <f aca="false">F37+G37</f>
        <v>0.01920992346</v>
      </c>
      <c r="I37" s="106" t="n">
        <f aca="false">F37*Assumptions!$B$127</f>
        <v>0.00303615</v>
      </c>
      <c r="J37" s="106" t="n">
        <f aca="false">H37-I37</f>
        <v>0.01617377346</v>
      </c>
      <c r="K37" s="106" t="n">
        <f aca="false">H37*Assumptions!$B$104/30.4</f>
        <v>0.0347547957335526</v>
      </c>
      <c r="L37" s="106" t="n">
        <f aca="false">-(K37-K36)</f>
        <v>-0.00234325868092106</v>
      </c>
      <c r="M37" s="107" t="n">
        <f aca="false">M36+J37+L37</f>
        <v>0.0693350717064474</v>
      </c>
    </row>
    <row r="38" customFormat="false" ht="15" hidden="false" customHeight="false" outlineLevel="0" collapsed="false">
      <c r="A38" s="62" t="str">
        <f aca="false">Assumptions!A61</f>
        <v>Jun 2029</v>
      </c>
      <c r="B38" s="62" t="s">
        <v>261</v>
      </c>
      <c r="C38" s="104" t="n">
        <f aca="false">Assumptions!B61</f>
        <v>186</v>
      </c>
      <c r="D38" s="105" t="n">
        <f aca="false">Assumptions!$B$125</f>
        <v>0.15</v>
      </c>
      <c r="E38" s="106" t="n">
        <f aca="false">(1+Assumptions!$B$129)</f>
        <v>1.04</v>
      </c>
      <c r="F38" s="106" t="n">
        <f aca="false">C38*D38*Assumptions!$B$121*E38/12/10^7</f>
        <v>0.021762</v>
      </c>
      <c r="G38" s="106" t="n">
        <f aca="false">-F38*Assumptions!$B$128*Assumptions!J61</f>
        <v>-0.0011555622</v>
      </c>
      <c r="H38" s="107" t="n">
        <f aca="false">F38+G38</f>
        <v>0.0206064378</v>
      </c>
      <c r="I38" s="106" t="n">
        <f aca="false">F38*Assumptions!$B$127</f>
        <v>0.0032643</v>
      </c>
      <c r="J38" s="106" t="n">
        <f aca="false">H38-I38</f>
        <v>0.0173421378</v>
      </c>
      <c r="K38" s="106" t="n">
        <f aca="false">H38*Assumptions!$B$104/30.4</f>
        <v>0.0372813841776316</v>
      </c>
      <c r="L38" s="106" t="n">
        <f aca="false">-(K38-K37)</f>
        <v>-0.00252658844407894</v>
      </c>
      <c r="M38" s="107" t="n">
        <f aca="false">M37+J38+L38</f>
        <v>0.0841506210623684</v>
      </c>
    </row>
    <row r="39" customFormat="false" ht="15" hidden="false" customHeight="false" outlineLevel="0" collapsed="false">
      <c r="A39" s="62" t="str">
        <f aca="false">Assumptions!A62</f>
        <v>Jul 2029</v>
      </c>
      <c r="B39" s="62" t="s">
        <v>261</v>
      </c>
      <c r="C39" s="104" t="n">
        <f aca="false">Assumptions!B62</f>
        <v>199</v>
      </c>
      <c r="D39" s="105" t="n">
        <f aca="false">Assumptions!$B$125</f>
        <v>0.15</v>
      </c>
      <c r="E39" s="106" t="n">
        <f aca="false">(1+Assumptions!$B$129)</f>
        <v>1.04</v>
      </c>
      <c r="F39" s="106" t="n">
        <f aca="false">C39*D39*Assumptions!$B$121*E39/12/10^7</f>
        <v>0.023283</v>
      </c>
      <c r="G39" s="106" t="n">
        <f aca="false">-F39*Assumptions!$B$128*Assumptions!J62</f>
        <v>-0.00128661858</v>
      </c>
      <c r="H39" s="107" t="n">
        <f aca="false">F39+G39</f>
        <v>0.02199638142</v>
      </c>
      <c r="I39" s="106" t="n">
        <f aca="false">F39*Assumptions!$B$127</f>
        <v>0.00349245</v>
      </c>
      <c r="J39" s="106" t="n">
        <f aca="false">H39-I39</f>
        <v>0.01850393142</v>
      </c>
      <c r="K39" s="106" t="n">
        <f aca="false">H39*Assumptions!$B$104/30.4</f>
        <v>0.0397960848059211</v>
      </c>
      <c r="L39" s="106" t="n">
        <f aca="false">-(K39-K38)</f>
        <v>-0.00251470062828948</v>
      </c>
      <c r="M39" s="107" t="n">
        <f aca="false">M38+J39+L39</f>
        <v>0.100139851854079</v>
      </c>
    </row>
    <row r="40" customFormat="false" ht="15" hidden="false" customHeight="false" outlineLevel="0" collapsed="false">
      <c r="A40" s="62" t="str">
        <f aca="false">Assumptions!A63</f>
        <v>Aug 2029</v>
      </c>
      <c r="B40" s="62" t="s">
        <v>261</v>
      </c>
      <c r="C40" s="104" t="n">
        <f aca="false">Assumptions!B63</f>
        <v>213</v>
      </c>
      <c r="D40" s="105" t="n">
        <f aca="false">Assumptions!$B$125</f>
        <v>0.15</v>
      </c>
      <c r="E40" s="106" t="n">
        <f aca="false">(1+Assumptions!$B$129)</f>
        <v>1.04</v>
      </c>
      <c r="F40" s="106" t="n">
        <f aca="false">C40*D40*Assumptions!$B$121*E40/12/10^7</f>
        <v>0.024921</v>
      </c>
      <c r="G40" s="106" t="n">
        <f aca="false">-F40*Assumptions!$B$128*Assumptions!J63</f>
        <v>-0.00142647804</v>
      </c>
      <c r="H40" s="107" t="n">
        <f aca="false">F40+G40</f>
        <v>0.02349452196</v>
      </c>
      <c r="I40" s="106" t="n">
        <f aca="false">F40*Assumptions!$B$127</f>
        <v>0.00373815</v>
      </c>
      <c r="J40" s="106" t="n">
        <f aca="false">H40-I40</f>
        <v>0.01975637196</v>
      </c>
      <c r="K40" s="106" t="n">
        <f aca="false">H40*Assumptions!$B$104/30.4</f>
        <v>0.0425065364407895</v>
      </c>
      <c r="L40" s="106" t="n">
        <f aca="false">-(K40-K39)</f>
        <v>-0.00271045163486842</v>
      </c>
      <c r="M40" s="107" t="n">
        <f aca="false">M39+J40+L40</f>
        <v>0.117185772179211</v>
      </c>
    </row>
    <row r="41" customFormat="false" ht="15" hidden="false" customHeight="false" outlineLevel="0" collapsed="false">
      <c r="A41" s="62" t="str">
        <f aca="false">Assumptions!A64</f>
        <v>Sep 2029</v>
      </c>
      <c r="B41" s="62" t="s">
        <v>261</v>
      </c>
      <c r="C41" s="104" t="n">
        <f aca="false">Assumptions!B64</f>
        <v>226</v>
      </c>
      <c r="D41" s="105" t="n">
        <f aca="false">Assumptions!$B$125</f>
        <v>0.15</v>
      </c>
      <c r="E41" s="106" t="n">
        <f aca="false">(1+Assumptions!$B$129)</f>
        <v>1.04</v>
      </c>
      <c r="F41" s="106" t="n">
        <f aca="false">C41*D41*Assumptions!$B$121*E41/12/10^7</f>
        <v>0.026442</v>
      </c>
      <c r="G41" s="106" t="n">
        <f aca="false">-F41*Assumptions!$B$128*Assumptions!J64</f>
        <v>-0.0015706548</v>
      </c>
      <c r="H41" s="107" t="n">
        <f aca="false">F41+G41</f>
        <v>0.0248713452</v>
      </c>
      <c r="I41" s="106" t="n">
        <f aca="false">F41*Assumptions!$B$127</f>
        <v>0.0039663</v>
      </c>
      <c r="J41" s="106" t="n">
        <f aca="false">H41-I41</f>
        <v>0.0209050452</v>
      </c>
      <c r="K41" s="106" t="n">
        <f aca="false">H41*Assumptions!$B$104/30.4</f>
        <v>0.0449974995394737</v>
      </c>
      <c r="L41" s="106" t="n">
        <f aca="false">-(K41-K40)</f>
        <v>-0.00249096309868421</v>
      </c>
      <c r="M41" s="107" t="n">
        <f aca="false">M40+J41+L41</f>
        <v>0.135599854280526</v>
      </c>
    </row>
    <row r="42" customFormat="false" ht="15" hidden="false" customHeight="false" outlineLevel="0" collapsed="false">
      <c r="A42" s="62" t="str">
        <f aca="false">Assumptions!A65</f>
        <v>Oct 2029</v>
      </c>
      <c r="B42" s="62" t="s">
        <v>261</v>
      </c>
      <c r="C42" s="104" t="n">
        <f aca="false">Assumptions!B65</f>
        <v>240</v>
      </c>
      <c r="D42" s="105" t="n">
        <f aca="false">Assumptions!$B$125</f>
        <v>0.15</v>
      </c>
      <c r="E42" s="106" t="n">
        <f aca="false">(1+Assumptions!$B$129)</f>
        <v>1.04</v>
      </c>
      <c r="F42" s="106" t="n">
        <f aca="false">C42*D42*Assumptions!$B$121*E42/12/10^7</f>
        <v>0.02808</v>
      </c>
      <c r="G42" s="106" t="n">
        <f aca="false">-F42*Assumptions!$B$128*Assumptions!J65</f>
        <v>-0.0017083872</v>
      </c>
      <c r="H42" s="107" t="n">
        <f aca="false">F42+G42</f>
        <v>0.0263716128</v>
      </c>
      <c r="I42" s="106" t="n">
        <f aca="false">F42*Assumptions!$B$127</f>
        <v>0.004212</v>
      </c>
      <c r="J42" s="106" t="n">
        <f aca="false">H42-I42</f>
        <v>0.0221596128</v>
      </c>
      <c r="K42" s="106" t="n">
        <f aca="false">H42*Assumptions!$B$104/30.4</f>
        <v>0.0477117994736842</v>
      </c>
      <c r="L42" s="106" t="n">
        <f aca="false">-(K42-K41)</f>
        <v>-0.00271429993421053</v>
      </c>
      <c r="M42" s="107" t="n">
        <f aca="false">M41+J42+L42</f>
        <v>0.155045167146316</v>
      </c>
    </row>
    <row r="43" customFormat="false" ht="15" hidden="false" customHeight="false" outlineLevel="0" collapsed="false">
      <c r="A43" s="62" t="str">
        <f aca="false">Assumptions!A66</f>
        <v>Nov 2029</v>
      </c>
      <c r="B43" s="62" t="s">
        <v>261</v>
      </c>
      <c r="C43" s="104" t="n">
        <f aca="false">Assumptions!B66</f>
        <v>254</v>
      </c>
      <c r="D43" s="105" t="n">
        <f aca="false">Assumptions!$B$125</f>
        <v>0.15</v>
      </c>
      <c r="E43" s="106" t="n">
        <f aca="false">(1+Assumptions!$B$129)</f>
        <v>1.04</v>
      </c>
      <c r="F43" s="106" t="n">
        <f aca="false">C43*D43*Assumptions!$B$121*E43/12/10^7</f>
        <v>0.029718</v>
      </c>
      <c r="G43" s="106" t="n">
        <f aca="false">-F43*Assumptions!$B$128*Assumptions!J66</f>
        <v>-0.00185618628</v>
      </c>
      <c r="H43" s="107" t="n">
        <f aca="false">F43+G43</f>
        <v>0.02786181372</v>
      </c>
      <c r="I43" s="106" t="n">
        <f aca="false">F43*Assumptions!$B$127</f>
        <v>0.0044577</v>
      </c>
      <c r="J43" s="106" t="n">
        <f aca="false">H43-I43</f>
        <v>0.02340411372</v>
      </c>
      <c r="K43" s="106" t="n">
        <f aca="false">H43*Assumptions!$B$104/30.4</f>
        <v>0.0504078866644737</v>
      </c>
      <c r="L43" s="106" t="n">
        <f aca="false">-(K43-K42)</f>
        <v>-0.00269608719078948</v>
      </c>
      <c r="M43" s="107" t="n">
        <f aca="false">M42+J43+L43</f>
        <v>0.175753193675526</v>
      </c>
    </row>
    <row r="44" customFormat="false" ht="15" hidden="false" customHeight="false" outlineLevel="0" collapsed="false">
      <c r="A44" s="62" t="str">
        <f aca="false">Assumptions!A67</f>
        <v>Dec 2029</v>
      </c>
      <c r="B44" s="62" t="s">
        <v>261</v>
      </c>
      <c r="C44" s="104" t="n">
        <f aca="false">Assumptions!B67</f>
        <v>268</v>
      </c>
      <c r="D44" s="105" t="n">
        <f aca="false">Assumptions!$B$125</f>
        <v>0.15</v>
      </c>
      <c r="E44" s="106" t="n">
        <f aca="false">(1+Assumptions!$B$129)</f>
        <v>1.04</v>
      </c>
      <c r="F44" s="106" t="n">
        <f aca="false">C44*D44*Assumptions!$B$121*E44/12/10^7</f>
        <v>0.031356</v>
      </c>
      <c r="G44" s="106" t="n">
        <f aca="false">-F44*Assumptions!$B$128*Assumptions!J67</f>
        <v>-0.0020036484</v>
      </c>
      <c r="H44" s="107" t="n">
        <f aca="false">F44+G44</f>
        <v>0.0293523516</v>
      </c>
      <c r="I44" s="106" t="n">
        <f aca="false">F44*Assumptions!$B$127</f>
        <v>0.0047034</v>
      </c>
      <c r="J44" s="106" t="n">
        <f aca="false">H44-I44</f>
        <v>0.0246489516</v>
      </c>
      <c r="K44" s="106" t="n">
        <f aca="false">H44*Assumptions!$B$104/30.4</f>
        <v>0.0531045834868421</v>
      </c>
      <c r="L44" s="106" t="n">
        <f aca="false">-(K44-K43)</f>
        <v>-0.00269669682236841</v>
      </c>
      <c r="M44" s="107" t="n">
        <f aca="false">M43+J44+L44</f>
        <v>0.197705448453158</v>
      </c>
    </row>
    <row r="45" customFormat="false" ht="15" hidden="false" customHeight="false" outlineLevel="0" collapsed="false">
      <c r="A45" s="62" t="str">
        <f aca="false">Assumptions!A68</f>
        <v>Jan 2030</v>
      </c>
      <c r="B45" s="62" t="s">
        <v>261</v>
      </c>
      <c r="C45" s="104" t="n">
        <f aca="false">Assumptions!B68</f>
        <v>283</v>
      </c>
      <c r="D45" s="105" t="n">
        <f aca="false">Assumptions!$B$125</f>
        <v>0.15</v>
      </c>
      <c r="E45" s="106" t="n">
        <f aca="false">(1+Assumptions!$B$129)</f>
        <v>1.04</v>
      </c>
      <c r="F45" s="106" t="n">
        <f aca="false">C45*D45*Assumptions!$B$121*E45/12/10^7</f>
        <v>0.033111</v>
      </c>
      <c r="G45" s="106" t="n">
        <f aca="false">-F45*Assumptions!$B$128*Assumptions!J68</f>
        <v>-0.00216347274</v>
      </c>
      <c r="H45" s="107" t="n">
        <f aca="false">F45+G45</f>
        <v>0.03094752726</v>
      </c>
      <c r="I45" s="106" t="n">
        <f aca="false">F45*Assumptions!$B$127</f>
        <v>0.00496665</v>
      </c>
      <c r="J45" s="106" t="n">
        <f aca="false">H45-I45</f>
        <v>0.02598087726</v>
      </c>
      <c r="K45" s="106" t="n">
        <f aca="false">H45*Assumptions!$B$104/30.4</f>
        <v>0.0559905920822368</v>
      </c>
      <c r="L45" s="106" t="n">
        <f aca="false">-(K45-K44)</f>
        <v>-0.00288600859539474</v>
      </c>
      <c r="M45" s="107" t="n">
        <f aca="false">M44+J45+L45</f>
        <v>0.220800317117763</v>
      </c>
    </row>
    <row r="46" customFormat="false" ht="15" hidden="false" customHeight="false" outlineLevel="0" collapsed="false">
      <c r="A46" s="62" t="str">
        <f aca="false">Assumptions!A69</f>
        <v>Feb 2030</v>
      </c>
      <c r="B46" s="62" t="s">
        <v>261</v>
      </c>
      <c r="C46" s="104" t="n">
        <f aca="false">Assumptions!B69</f>
        <v>297</v>
      </c>
      <c r="D46" s="105" t="n">
        <f aca="false">Assumptions!$B$125</f>
        <v>0.15</v>
      </c>
      <c r="E46" s="106" t="n">
        <f aca="false">(1+Assumptions!$B$129)</f>
        <v>1.04</v>
      </c>
      <c r="F46" s="106" t="n">
        <f aca="false">C46*D46*Assumptions!$B$121*E46/12/10^7</f>
        <v>0.034749</v>
      </c>
      <c r="G46" s="106" t="n">
        <f aca="false">-F46*Assumptions!$B$128*Assumptions!J69</f>
        <v>-0.00232679304</v>
      </c>
      <c r="H46" s="107" t="n">
        <f aca="false">F46+G46</f>
        <v>0.03242220696</v>
      </c>
      <c r="I46" s="106" t="n">
        <f aca="false">F46*Assumptions!$B$127</f>
        <v>0.00521235</v>
      </c>
      <c r="J46" s="106" t="n">
        <f aca="false">H46-I46</f>
        <v>0.02720985696</v>
      </c>
      <c r="K46" s="106" t="n">
        <f aca="false">H46*Assumptions!$B$104/30.4</f>
        <v>0.0586585981184211</v>
      </c>
      <c r="L46" s="106" t="n">
        <f aca="false">-(K46-K45)</f>
        <v>-0.00266800603618421</v>
      </c>
      <c r="M46" s="107" t="n">
        <f aca="false">M45+J46+L46</f>
        <v>0.245342168041579</v>
      </c>
    </row>
    <row r="47" customFormat="false" ht="15" hidden="false" customHeight="false" outlineLevel="0" collapsed="false">
      <c r="A47" s="62" t="str">
        <f aca="false">Assumptions!A70</f>
        <v>Mar 2030</v>
      </c>
      <c r="B47" s="62" t="s">
        <v>261</v>
      </c>
      <c r="C47" s="104" t="n">
        <f aca="false">Assumptions!B70</f>
        <v>312</v>
      </c>
      <c r="D47" s="105" t="n">
        <f aca="false">Assumptions!$B$125</f>
        <v>0.15</v>
      </c>
      <c r="E47" s="106" t="n">
        <f aca="false">(1+Assumptions!$B$129)</f>
        <v>1.04</v>
      </c>
      <c r="F47" s="106" t="n">
        <f aca="false">C47*D47*Assumptions!$B$121*E47/12/10^7</f>
        <v>0.036504</v>
      </c>
      <c r="G47" s="106" t="n">
        <f aca="false">-F47*Assumptions!$B$128*Assumptions!J70</f>
        <v>-0.0024968736</v>
      </c>
      <c r="H47" s="107" t="n">
        <f aca="false">F47+G47</f>
        <v>0.0340071264</v>
      </c>
      <c r="I47" s="106" t="n">
        <f aca="false">F47*Assumptions!$B$127</f>
        <v>0.0054756</v>
      </c>
      <c r="J47" s="106" t="n">
        <f aca="false">H47-I47</f>
        <v>0.0285315264</v>
      </c>
      <c r="K47" s="106" t="n">
        <f aca="false">H47*Assumptions!$B$104/30.4</f>
        <v>0.0615260510526316</v>
      </c>
      <c r="L47" s="106" t="n">
        <f aca="false">-(K47-K46)</f>
        <v>-0.00286745293421054</v>
      </c>
      <c r="M47" s="107" t="n">
        <f aca="false">M46+J47+L47</f>
        <v>0.271006241507368</v>
      </c>
    </row>
    <row r="48" customFormat="false" ht="15" hidden="false" customHeight="false" outlineLevel="0" collapsed="false">
      <c r="A48" s="62" t="str">
        <f aca="false">Assumptions!A71</f>
        <v>Apr 2030</v>
      </c>
      <c r="B48" s="62" t="s">
        <v>262</v>
      </c>
      <c r="C48" s="104" t="n">
        <f aca="false">Assumptions!B71</f>
        <v>329</v>
      </c>
      <c r="D48" s="105" t="n">
        <f aca="false">Assumptions!$B$126</f>
        <v>0.2</v>
      </c>
      <c r="E48" s="106" t="n">
        <f aca="false">(1+Assumptions!$B$129)^2</f>
        <v>1.0816</v>
      </c>
      <c r="F48" s="106" t="n">
        <f aca="false">C48*D48*Assumptions!$B$121*E48/12/10^7</f>
        <v>0.05337696</v>
      </c>
      <c r="G48" s="106" t="n">
        <f aca="false">-F48*Assumptions!$B$128*Assumptions!J71</f>
        <v>-0.0037182390336</v>
      </c>
      <c r="H48" s="107" t="n">
        <f aca="false">F48+G48</f>
        <v>0.0496587209664</v>
      </c>
      <c r="I48" s="106" t="n">
        <f aca="false">F48*Assumptions!$B$127</f>
        <v>0.008006544</v>
      </c>
      <c r="J48" s="106" t="n">
        <f aca="false">H48-I48</f>
        <v>0.0416521769664</v>
      </c>
      <c r="K48" s="106" t="n">
        <f aca="false">H48*Assumptions!$B$104/30.4</f>
        <v>0.0898430806957895</v>
      </c>
      <c r="L48" s="106" t="n">
        <f aca="false">-(K48-K47)</f>
        <v>-0.0283170296431579</v>
      </c>
      <c r="M48" s="107" t="n">
        <f aca="false">M47+J48+L48</f>
        <v>0.284341388830611</v>
      </c>
    </row>
    <row r="49" customFormat="false" ht="15" hidden="false" customHeight="false" outlineLevel="0" collapsed="false">
      <c r="A49" s="62" t="str">
        <f aca="false">Assumptions!A72</f>
        <v>May 2030</v>
      </c>
      <c r="B49" s="62" t="s">
        <v>262</v>
      </c>
      <c r="C49" s="104" t="n">
        <f aca="false">Assumptions!B72</f>
        <v>345</v>
      </c>
      <c r="D49" s="105" t="n">
        <f aca="false">Assumptions!$B$126</f>
        <v>0.2</v>
      </c>
      <c r="E49" s="106" t="n">
        <f aca="false">(1+Assumptions!$B$129)^2</f>
        <v>1.0816</v>
      </c>
      <c r="F49" s="106" t="n">
        <f aca="false">C49*D49*Assumptions!$B$121*E49/12/10^7</f>
        <v>0.0559728</v>
      </c>
      <c r="G49" s="106" t="n">
        <f aca="false">-F49*Assumptions!$B$128*Assumptions!J72</f>
        <v>-0.003959515872</v>
      </c>
      <c r="H49" s="107" t="n">
        <f aca="false">F49+G49</f>
        <v>0.052013284128</v>
      </c>
      <c r="I49" s="106" t="n">
        <f aca="false">F49*Assumptions!$B$127</f>
        <v>0.00839592</v>
      </c>
      <c r="J49" s="106" t="n">
        <f aca="false">H49-I49</f>
        <v>0.043617364128</v>
      </c>
      <c r="K49" s="106" t="n">
        <f aca="false">H49*Assumptions!$B$104/30.4</f>
        <v>0.0941029811526316</v>
      </c>
      <c r="L49" s="106" t="n">
        <f aca="false">-(K49-K48)</f>
        <v>-0.0042599004568421</v>
      </c>
      <c r="M49" s="107" t="n">
        <f aca="false">M48+J49+L49</f>
        <v>0.323698852501768</v>
      </c>
    </row>
    <row r="50" customFormat="false" ht="15" hidden="false" customHeight="false" outlineLevel="0" collapsed="false">
      <c r="A50" s="62" t="str">
        <f aca="false">Assumptions!A73</f>
        <v>Jun 2030</v>
      </c>
      <c r="B50" s="62" t="s">
        <v>262</v>
      </c>
      <c r="C50" s="104" t="n">
        <f aca="false">Assumptions!B73</f>
        <v>362</v>
      </c>
      <c r="D50" s="105" t="n">
        <f aca="false">Assumptions!$B$126</f>
        <v>0.2</v>
      </c>
      <c r="E50" s="106" t="n">
        <f aca="false">(1+Assumptions!$B$129)^2</f>
        <v>1.0816</v>
      </c>
      <c r="F50" s="106" t="n">
        <f aca="false">C50*D50*Assumptions!$B$121*E50/12/10^7</f>
        <v>0.05873088</v>
      </c>
      <c r="G50" s="106" t="n">
        <f aca="false">-F50*Assumptions!$B$128*Assumptions!J73</f>
        <v>-0.00422862336</v>
      </c>
      <c r="H50" s="107" t="n">
        <f aca="false">F50+G50</f>
        <v>0.05450225664</v>
      </c>
      <c r="I50" s="106" t="n">
        <f aca="false">F50*Assumptions!$B$127</f>
        <v>0.008809632</v>
      </c>
      <c r="J50" s="106" t="n">
        <f aca="false">H50-I50</f>
        <v>0.04569262464</v>
      </c>
      <c r="K50" s="106" t="n">
        <f aca="false">H50*Assumptions!$B$104/30.4</f>
        <v>0.0986060564210527</v>
      </c>
      <c r="L50" s="106" t="n">
        <f aca="false">-(K50-K49)</f>
        <v>-0.00450307526842107</v>
      </c>
      <c r="M50" s="107" t="n">
        <f aca="false">M49+J50+L50</f>
        <v>0.364888401873347</v>
      </c>
    </row>
    <row r="51" customFormat="false" ht="15" hidden="false" customHeight="false" outlineLevel="0" collapsed="false">
      <c r="A51" s="62" t="str">
        <f aca="false">Assumptions!A74</f>
        <v>Jul 2030</v>
      </c>
      <c r="B51" s="62" t="s">
        <v>262</v>
      </c>
      <c r="C51" s="104" t="n">
        <f aca="false">Assumptions!B74</f>
        <v>380</v>
      </c>
      <c r="D51" s="105" t="n">
        <f aca="false">Assumptions!$B$126</f>
        <v>0.2</v>
      </c>
      <c r="E51" s="106" t="n">
        <f aca="false">(1+Assumptions!$B$129)^2</f>
        <v>1.0816</v>
      </c>
      <c r="F51" s="106" t="n">
        <f aca="false">C51*D51*Assumptions!$B$121*E51/12/10^7</f>
        <v>0.0616512</v>
      </c>
      <c r="G51" s="106" t="n">
        <f aca="false">-F51*Assumptions!$B$128*Assumptions!J74</f>
        <v>-0.004516566912</v>
      </c>
      <c r="H51" s="107" t="n">
        <f aca="false">F51+G51</f>
        <v>0.057134633088</v>
      </c>
      <c r="I51" s="106" t="n">
        <f aca="false">F51*Assumptions!$B$127</f>
        <v>0.00924768</v>
      </c>
      <c r="J51" s="106" t="n">
        <f aca="false">H51-I51</f>
        <v>0.047886953088</v>
      </c>
      <c r="K51" s="106" t="n">
        <f aca="false">H51*Assumptions!$B$104/30.4</f>
        <v>0.1033685796</v>
      </c>
      <c r="L51" s="106" t="n">
        <f aca="false">-(K51-K50)</f>
        <v>-0.00476252317894735</v>
      </c>
      <c r="M51" s="107" t="n">
        <f aca="false">M50+J51+L51</f>
        <v>0.4080128317824</v>
      </c>
    </row>
    <row r="52" customFormat="false" ht="15" hidden="false" customHeight="false" outlineLevel="0" collapsed="false">
      <c r="A52" s="62" t="str">
        <f aca="false">Assumptions!A75</f>
        <v>Aug 2030</v>
      </c>
      <c r="B52" s="62" t="s">
        <v>262</v>
      </c>
      <c r="C52" s="104" t="n">
        <f aca="false">Assumptions!B75</f>
        <v>398</v>
      </c>
      <c r="D52" s="105" t="n">
        <f aca="false">Assumptions!$B$126</f>
        <v>0.2</v>
      </c>
      <c r="E52" s="106" t="n">
        <f aca="false">(1+Assumptions!$B$129)^2</f>
        <v>1.0816</v>
      </c>
      <c r="F52" s="106" t="n">
        <f aca="false">C52*D52*Assumptions!$B$121*E52/12/10^7</f>
        <v>0.06457152</v>
      </c>
      <c r="G52" s="106" t="n">
        <f aca="false">-F52*Assumptions!$B$128*Assumptions!J75</f>
        <v>-0.0048002467968</v>
      </c>
      <c r="H52" s="107" t="n">
        <f aca="false">F52+G52</f>
        <v>0.0597712732032</v>
      </c>
      <c r="I52" s="106" t="n">
        <f aca="false">F52*Assumptions!$B$127</f>
        <v>0.009685728</v>
      </c>
      <c r="J52" s="106" t="n">
        <f aca="false">H52-I52</f>
        <v>0.0500855452032</v>
      </c>
      <c r="K52" s="106" t="n">
        <f aca="false">H52*Assumptions!$B$104/30.4</f>
        <v>0.108138816650526</v>
      </c>
      <c r="L52" s="106" t="n">
        <f aca="false">-(K52-K51)</f>
        <v>-0.00477023705052634</v>
      </c>
      <c r="M52" s="107" t="n">
        <f aca="false">M51+J52+L52</f>
        <v>0.453328139935074</v>
      </c>
    </row>
    <row r="53" customFormat="false" ht="15" hidden="false" customHeight="false" outlineLevel="0" collapsed="false">
      <c r="A53" s="62" t="str">
        <f aca="false">Assumptions!A76</f>
        <v>Sep 2030</v>
      </c>
      <c r="B53" s="62" t="s">
        <v>262</v>
      </c>
      <c r="C53" s="104" t="n">
        <f aca="false">Assumptions!B76</f>
        <v>416</v>
      </c>
      <c r="D53" s="105" t="n">
        <f aca="false">Assumptions!$B$126</f>
        <v>0.2</v>
      </c>
      <c r="E53" s="106" t="n">
        <f aca="false">(1+Assumptions!$B$129)^2</f>
        <v>1.0816</v>
      </c>
      <c r="F53" s="106" t="n">
        <f aca="false">C53*D53*Assumptions!$B$121*E53/12/10^7</f>
        <v>0.06749184</v>
      </c>
      <c r="G53" s="106" t="n">
        <f aca="false">-F53*Assumptions!$B$128*Assumptions!J76</f>
        <v>-0.005102383104</v>
      </c>
      <c r="H53" s="107" t="n">
        <f aca="false">F53+G53</f>
        <v>0.062389456896</v>
      </c>
      <c r="I53" s="106" t="n">
        <f aca="false">F53*Assumptions!$B$127</f>
        <v>0.010123776</v>
      </c>
      <c r="J53" s="106" t="n">
        <f aca="false">H53-I53</f>
        <v>0.052265680896</v>
      </c>
      <c r="K53" s="106" t="n">
        <f aca="false">H53*Assumptions!$B$104/30.4</f>
        <v>0.112875662147368</v>
      </c>
      <c r="L53" s="106" t="n">
        <f aca="false">-(K53-K52)</f>
        <v>-0.00473684549684209</v>
      </c>
      <c r="M53" s="107" t="n">
        <f aca="false">M52+J53+L53</f>
        <v>0.500856975334232</v>
      </c>
    </row>
    <row r="54" customFormat="false" ht="15" hidden="false" customHeight="false" outlineLevel="0" collapsed="false">
      <c r="A54" s="62" t="str">
        <f aca="false">Assumptions!A77</f>
        <v>Oct 2030</v>
      </c>
      <c r="B54" s="62" t="s">
        <v>262</v>
      </c>
      <c r="C54" s="104" t="n">
        <f aca="false">Assumptions!B77</f>
        <v>436</v>
      </c>
      <c r="D54" s="105" t="n">
        <f aca="false">Assumptions!$B$126</f>
        <v>0.2</v>
      </c>
      <c r="E54" s="106" t="n">
        <f aca="false">(1+Assumptions!$B$129)^2</f>
        <v>1.0816</v>
      </c>
      <c r="F54" s="106" t="n">
        <f aca="false">C54*D54*Assumptions!$B$121*E54/12/10^7</f>
        <v>0.07073664</v>
      </c>
      <c r="G54" s="106" t="n">
        <f aca="false">-F54*Assumptions!$B$128*Assumptions!J77</f>
        <v>-0.00541135296</v>
      </c>
      <c r="H54" s="107" t="n">
        <f aca="false">F54+G54</f>
        <v>0.06532528704</v>
      </c>
      <c r="I54" s="106" t="n">
        <f aca="false">F54*Assumptions!$B$127</f>
        <v>0.010610496</v>
      </c>
      <c r="J54" s="106" t="n">
        <f aca="false">H54-I54</f>
        <v>0.05471479104</v>
      </c>
      <c r="K54" s="106" t="n">
        <f aca="false">H54*Assumptions!$B$104/30.4</f>
        <v>0.118187196947368</v>
      </c>
      <c r="L54" s="106" t="n">
        <f aca="false">-(K54-K53)</f>
        <v>-0.00531153479999999</v>
      </c>
      <c r="M54" s="107" t="n">
        <f aca="false">M53+J54+L54</f>
        <v>0.550260231574232</v>
      </c>
    </row>
    <row r="55" customFormat="false" ht="15" hidden="false" customHeight="false" outlineLevel="0" collapsed="false">
      <c r="A55" s="62" t="str">
        <f aca="false">Assumptions!A78</f>
        <v>Nov 2030</v>
      </c>
      <c r="B55" s="62" t="s">
        <v>262</v>
      </c>
      <c r="C55" s="104" t="n">
        <f aca="false">Assumptions!B78</f>
        <v>456</v>
      </c>
      <c r="D55" s="105" t="n">
        <f aca="false">Assumptions!$B$126</f>
        <v>0.2</v>
      </c>
      <c r="E55" s="106" t="n">
        <f aca="false">(1+Assumptions!$B$129)^2</f>
        <v>1.0816</v>
      </c>
      <c r="F55" s="106" t="n">
        <f aca="false">C55*D55*Assumptions!$B$121*E55/12/10^7</f>
        <v>0.07398144</v>
      </c>
      <c r="G55" s="106" t="n">
        <f aca="false">-F55*Assumptions!$B$128*Assumptions!J78</f>
        <v>-0.005726163456</v>
      </c>
      <c r="H55" s="107" t="n">
        <f aca="false">F55+G55</f>
        <v>0.068255276544</v>
      </c>
      <c r="I55" s="106" t="n">
        <f aca="false">F55*Assumptions!$B$127</f>
        <v>0.011097216</v>
      </c>
      <c r="J55" s="106" t="n">
        <f aca="false">H55-I55</f>
        <v>0.057158060544</v>
      </c>
      <c r="K55" s="106" t="n">
        <f aca="false">H55*Assumptions!$B$104/30.4</f>
        <v>0.1234881648</v>
      </c>
      <c r="L55" s="106" t="n">
        <f aca="false">-(K55-K54)</f>
        <v>-0.00530096785263158</v>
      </c>
      <c r="M55" s="107" t="n">
        <f aca="false">M54+J55+L55</f>
        <v>0.6021173242656</v>
      </c>
    </row>
    <row r="56" customFormat="false" ht="15" hidden="false" customHeight="false" outlineLevel="0" collapsed="false">
      <c r="A56" s="62" t="str">
        <f aca="false">Assumptions!A79</f>
        <v>Dec 2030</v>
      </c>
      <c r="B56" s="62" t="s">
        <v>262</v>
      </c>
      <c r="C56" s="104" t="n">
        <f aca="false">Assumptions!B79</f>
        <v>476</v>
      </c>
      <c r="D56" s="105" t="n">
        <f aca="false">Assumptions!$B$126</f>
        <v>0.2</v>
      </c>
      <c r="E56" s="106" t="n">
        <f aca="false">(1+Assumptions!$B$129)^2</f>
        <v>1.0816</v>
      </c>
      <c r="F56" s="106" t="n">
        <f aca="false">C56*D56*Assumptions!$B$121*E56/12/10^7</f>
        <v>0.07722624</v>
      </c>
      <c r="G56" s="106" t="n">
        <f aca="false">-F56*Assumptions!$B$128*Assumptions!J79</f>
        <v>-0.006046814592</v>
      </c>
      <c r="H56" s="107" t="n">
        <f aca="false">F56+G56</f>
        <v>0.071179425408</v>
      </c>
      <c r="I56" s="106" t="n">
        <f aca="false">F56*Assumptions!$B$127</f>
        <v>0.011583936</v>
      </c>
      <c r="J56" s="106" t="n">
        <f aca="false">H56-I56</f>
        <v>0.059595489408</v>
      </c>
      <c r="K56" s="106" t="n">
        <f aca="false">H56*Assumptions!$B$104/30.4</f>
        <v>0.128778565705263</v>
      </c>
      <c r="L56" s="106" t="n">
        <f aca="false">-(K56-K55)</f>
        <v>-0.00529040090526316</v>
      </c>
      <c r="M56" s="107" t="n">
        <f aca="false">M55+J56+L56</f>
        <v>0.656422412768337</v>
      </c>
    </row>
    <row r="57" customFormat="false" ht="15" hidden="false" customHeight="false" outlineLevel="0" collapsed="false">
      <c r="A57" s="62" t="str">
        <f aca="false">Assumptions!A80</f>
        <v>Jan 2031</v>
      </c>
      <c r="B57" s="62" t="s">
        <v>262</v>
      </c>
      <c r="C57" s="104" t="n">
        <f aca="false">Assumptions!B80</f>
        <v>499</v>
      </c>
      <c r="D57" s="105" t="n">
        <f aca="false">Assumptions!$B$126</f>
        <v>0.2</v>
      </c>
      <c r="E57" s="106" t="n">
        <f aca="false">(1+Assumptions!$B$129)^2</f>
        <v>1.0816</v>
      </c>
      <c r="F57" s="106" t="n">
        <f aca="false">C57*D57*Assumptions!$B$121*E57/12/10^7</f>
        <v>0.08095776</v>
      </c>
      <c r="G57" s="106" t="n">
        <f aca="false">-F57*Assumptions!$B$128*Assumptions!J80</f>
        <v>-0.006411854592</v>
      </c>
      <c r="H57" s="107" t="n">
        <f aca="false">F57+G57</f>
        <v>0.074545905408</v>
      </c>
      <c r="I57" s="106" t="n">
        <f aca="false">F57*Assumptions!$B$127</f>
        <v>0.012143664</v>
      </c>
      <c r="J57" s="106" t="n">
        <f aca="false">H57-I57</f>
        <v>0.062402241408</v>
      </c>
      <c r="K57" s="106" t="n">
        <f aca="false">H57*Assumptions!$B$104/30.4</f>
        <v>0.134869236757895</v>
      </c>
      <c r="L57" s="106" t="n">
        <f aca="false">-(K57-K56)</f>
        <v>-0.00609067105263159</v>
      </c>
      <c r="M57" s="107" t="n">
        <f aca="false">M56+J57+L57</f>
        <v>0.712733983123705</v>
      </c>
    </row>
    <row r="58" customFormat="false" ht="15" hidden="false" customHeight="false" outlineLevel="0" collapsed="false">
      <c r="A58" s="62" t="str">
        <f aca="false">Assumptions!A81</f>
        <v>Feb 2031</v>
      </c>
      <c r="B58" s="62" t="s">
        <v>262</v>
      </c>
      <c r="C58" s="104" t="n">
        <f aca="false">Assumptions!B81</f>
        <v>522</v>
      </c>
      <c r="D58" s="105" t="n">
        <f aca="false">Assumptions!$B$126</f>
        <v>0.2</v>
      </c>
      <c r="E58" s="106" t="n">
        <f aca="false">(1+Assumptions!$B$129)^2</f>
        <v>1.0816</v>
      </c>
      <c r="F58" s="106" t="n">
        <f aca="false">C58*D58*Assumptions!$B$121*E58/12/10^7</f>
        <v>0.08468928</v>
      </c>
      <c r="G58" s="106" t="n">
        <f aca="false">-F58*Assumptions!$B$128*Assumptions!J81</f>
        <v>-0.006783611328</v>
      </c>
      <c r="H58" s="107" t="n">
        <f aca="false">F58+G58</f>
        <v>0.077905668672</v>
      </c>
      <c r="I58" s="106" t="n">
        <f aca="false">F58*Assumptions!$B$127</f>
        <v>0.012703392</v>
      </c>
      <c r="J58" s="106" t="n">
        <f aca="false">H58-I58</f>
        <v>0.065202276672</v>
      </c>
      <c r="K58" s="106" t="n">
        <f aca="false">H58*Assumptions!$B$104/30.4</f>
        <v>0.140947755821053</v>
      </c>
      <c r="L58" s="106" t="n">
        <f aca="false">-(K58-K57)</f>
        <v>-0.00607851906315793</v>
      </c>
      <c r="M58" s="107" t="n">
        <f aca="false">M57+J58+L58</f>
        <v>0.771857740732547</v>
      </c>
    </row>
    <row r="59" customFormat="false" ht="15" hidden="false" customHeight="false" outlineLevel="0" collapsed="false">
      <c r="A59" s="62" t="str">
        <f aca="false">Assumptions!A82</f>
        <v>Mar 2031</v>
      </c>
      <c r="B59" s="62" t="s">
        <v>262</v>
      </c>
      <c r="C59" s="104" t="n">
        <f aca="false">Assumptions!B82</f>
        <v>545</v>
      </c>
      <c r="D59" s="105" t="n">
        <f aca="false">Assumptions!$B$126</f>
        <v>0.2</v>
      </c>
      <c r="E59" s="106" t="n">
        <f aca="false">(1+Assumptions!$B$129)^2</f>
        <v>1.0816</v>
      </c>
      <c r="F59" s="106" t="n">
        <f aca="false">C59*D59*Assumptions!$B$121*E59/12/10^7</f>
        <v>0.0884208</v>
      </c>
      <c r="G59" s="106" t="n">
        <f aca="false">-F59*Assumptions!$B$128*Assumptions!J82</f>
        <v>-0.0071620848</v>
      </c>
      <c r="H59" s="107" t="n">
        <f aca="false">F59+G59</f>
        <v>0.0812587152</v>
      </c>
      <c r="I59" s="106" t="n">
        <f aca="false">F59*Assumptions!$B$127</f>
        <v>0.01326312</v>
      </c>
      <c r="J59" s="106" t="n">
        <f aca="false">H59-I59</f>
        <v>0.0679955952</v>
      </c>
      <c r="K59" s="106" t="n">
        <f aca="false">H59*Assumptions!$B$104/30.4</f>
        <v>0.147014122894737</v>
      </c>
      <c r="L59" s="106" t="n">
        <f aca="false">-(K59-K58)</f>
        <v>-0.00606636707368419</v>
      </c>
      <c r="M59" s="107" t="n">
        <f aca="false">M58+J59+L59</f>
        <v>0.833786968858863</v>
      </c>
    </row>
    <row r="60" customFormat="false" ht="15" hidden="false" customHeight="false" outlineLevel="0" collapsed="false">
      <c r="A60" s="108" t="s">
        <v>577</v>
      </c>
    </row>
    <row r="62" customFormat="false" ht="15" hidden="false" customHeight="false" outlineLevel="0" collapsed="false">
      <c r="A62" s="49" t="s">
        <v>388</v>
      </c>
      <c r="B62" s="1"/>
      <c r="C62" s="1"/>
      <c r="D62" s="1"/>
      <c r="E62" s="1"/>
      <c r="F62" s="1"/>
    </row>
    <row r="63" customFormat="false" ht="15" hidden="false" customHeight="false" outlineLevel="0" collapsed="false">
      <c r="A63" s="17" t="s">
        <v>257</v>
      </c>
      <c r="B63" s="61" t="s">
        <v>258</v>
      </c>
      <c r="C63" s="61" t="s">
        <v>259</v>
      </c>
      <c r="D63" s="61" t="s">
        <v>260</v>
      </c>
      <c r="E63" s="61" t="s">
        <v>261</v>
      </c>
      <c r="F63" s="61" t="s">
        <v>262</v>
      </c>
    </row>
    <row r="64" customFormat="false" ht="15" hidden="false" customHeight="false" outlineLevel="0" collapsed="false">
      <c r="A64" s="52" t="s">
        <v>578</v>
      </c>
      <c r="B64" s="109"/>
      <c r="C64" s="109"/>
      <c r="D64" s="109"/>
      <c r="E64" s="109"/>
      <c r="F64" s="109"/>
    </row>
    <row r="65" customFormat="false" ht="15" hidden="false" customHeight="false" outlineLevel="0" collapsed="false">
      <c r="A65" s="62" t="s">
        <v>579</v>
      </c>
      <c r="B65" s="110" t="n">
        <f aca="false">SUMIF($B$6:$B$59,B$63,$H$6:$H$59)</f>
        <v>0</v>
      </c>
      <c r="C65" s="110" t="n">
        <f aca="false">SUMIF($B$6:$B$59,C$63,$H$6:$H$59)</f>
        <v>0.00625545</v>
      </c>
      <c r="D65" s="110" t="n">
        <f aca="false">SUMIF($B$6:$B$59,D$63,$H$6:$H$59)</f>
        <v>0.0799589535</v>
      </c>
      <c r="E65" s="110" t="n">
        <f aca="false">SUMIF($B$6:$B$59,E$63,$H$6:$H$59)</f>
        <v>0.30905598906</v>
      </c>
      <c r="F65" s="110" t="n">
        <f aca="false">SUMIF($B$6:$B$59,F$63,$H$6:$H$59)</f>
        <v>0.7739399031936</v>
      </c>
    </row>
    <row r="66" customFormat="false" ht="15" hidden="false" customHeight="false" outlineLevel="0" collapsed="false">
      <c r="A66" s="62" t="s">
        <v>264</v>
      </c>
      <c r="B66" s="110" t="n">
        <f aca="false">SUMIF($B$6:$B$59,B$63,$I$6:$I$59)</f>
        <v>0</v>
      </c>
      <c r="C66" s="110" t="n">
        <f aca="false">SUMIF($B$6:$B$59,C$63,$I$6:$I$59)</f>
        <v>0.000945</v>
      </c>
      <c r="D66" s="110" t="n">
        <f aca="false">SUMIF($B$6:$B$59,D$63,$I$6:$I$59)</f>
        <v>0.0124425</v>
      </c>
      <c r="E66" s="110" t="n">
        <f aca="false">SUMIF($B$6:$B$59,E$63,$I$6:$I$59)</f>
        <v>0.0493506</v>
      </c>
      <c r="F66" s="110" t="n">
        <f aca="false">SUMIF($B$6:$B$59,F$63,$I$6:$I$59)</f>
        <v>0.125671104</v>
      </c>
    </row>
    <row r="67" customFormat="false" ht="15" hidden="false" customHeight="false" outlineLevel="0" collapsed="false">
      <c r="A67" s="64" t="s">
        <v>573</v>
      </c>
      <c r="B67" s="111" t="n">
        <f aca="false">B65-B66</f>
        <v>0</v>
      </c>
      <c r="C67" s="111" t="n">
        <f aca="false">C65-C66</f>
        <v>0.00531045</v>
      </c>
      <c r="D67" s="111" t="n">
        <f aca="false">D65-D66</f>
        <v>0.0675164535</v>
      </c>
      <c r="E67" s="111" t="n">
        <f aca="false">E65-E66</f>
        <v>0.25970538906</v>
      </c>
      <c r="F67" s="111" t="n">
        <f aca="false">F65-F66</f>
        <v>0.6482687991936</v>
      </c>
    </row>
    <row r="68" customFormat="false" ht="15" hidden="false" customHeight="false" outlineLevel="0" collapsed="false">
      <c r="A68" s="62" t="s">
        <v>580</v>
      </c>
      <c r="B68" s="110" t="n">
        <f aca="false">M11</f>
        <v>0</v>
      </c>
      <c r="C68" s="110" t="n">
        <f aca="false">M23</f>
        <v>0.00270258157894737</v>
      </c>
      <c r="D68" s="110" t="n">
        <f aca="false">M35</f>
        <v>0.0536845153421053</v>
      </c>
      <c r="E68" s="110" t="n">
        <f aca="false">M47</f>
        <v>0.271006241507368</v>
      </c>
      <c r="F68" s="110" t="n">
        <f aca="false">M59</f>
        <v>0.833786968858863</v>
      </c>
    </row>
    <row r="69" customFormat="false" ht="15" hidden="false" customHeight="false" outlineLevel="0" collapsed="false">
      <c r="A69" s="62" t="s">
        <v>581</v>
      </c>
      <c r="B69" s="110" t="n">
        <f aca="false">H11*12</f>
        <v>0</v>
      </c>
      <c r="C69" s="110" t="n">
        <f aca="false">H23*12</f>
        <v>0.01729728</v>
      </c>
      <c r="D69" s="110" t="n">
        <f aca="false">H35*12</f>
        <v>0.12696624</v>
      </c>
      <c r="E69" s="110" t="n">
        <f aca="false">H47*12</f>
        <v>0.4080855168</v>
      </c>
      <c r="F69" s="110" t="n">
        <f aca="false">H59*12</f>
        <v>0.9751045824</v>
      </c>
    </row>
    <row r="71" customFormat="false" ht="15" hidden="false" customHeight="false" outlineLevel="0" collapsed="false">
      <c r="A71" s="52" t="s">
        <v>582</v>
      </c>
      <c r="B71" s="109"/>
      <c r="C71" s="109"/>
      <c r="D71" s="109"/>
      <c r="E71" s="109"/>
      <c r="F71" s="109"/>
    </row>
    <row r="72" customFormat="false" ht="15" hidden="false" customHeight="false" outlineLevel="0" collapsed="false">
      <c r="A72" s="62" t="s">
        <v>583</v>
      </c>
      <c r="B72" s="112" t="n">
        <f aca="false">'Unit economics'!B9</f>
        <v>0.36</v>
      </c>
      <c r="C72" s="112" t="n">
        <f aca="false">'Unit economics'!C9</f>
        <v>26.325</v>
      </c>
      <c r="D72" s="112" t="n">
        <f aca="false">'Unit economics'!D9</f>
        <v>202.392</v>
      </c>
      <c r="E72" s="112" t="n">
        <f aca="false">'Unit economics'!E9</f>
        <v>885.588</v>
      </c>
      <c r="F72" s="112" t="n">
        <f aca="false">'Unit economics'!F9</f>
        <v>2491.458</v>
      </c>
    </row>
    <row r="73" customFormat="false" ht="15" hidden="false" customHeight="false" outlineLevel="0" collapsed="false">
      <c r="A73" s="62" t="s">
        <v>584</v>
      </c>
      <c r="B73" s="112" t="n">
        <f aca="false">'Unit economics'!B8</f>
        <v>0</v>
      </c>
      <c r="C73" s="112" t="n">
        <f aca="false">'Unit economics'!C8</f>
        <v>13.285</v>
      </c>
      <c r="D73" s="112" t="n">
        <f aca="false">'Unit economics'!D8</f>
        <v>147.792</v>
      </c>
      <c r="E73" s="112" t="n">
        <f aca="false">'Unit economics'!E8</f>
        <v>746.088</v>
      </c>
      <c r="F73" s="112" t="n">
        <f aca="false">'Unit economics'!F8</f>
        <v>2211.458</v>
      </c>
    </row>
    <row r="74" customFormat="false" ht="15" hidden="false" customHeight="false" outlineLevel="0" collapsed="false">
      <c r="A74" s="62" t="s">
        <v>585</v>
      </c>
      <c r="B74" s="106" t="n">
        <f aca="false">AVERAGE(Assumptions!K29:K34)</f>
        <v>0.08895</v>
      </c>
      <c r="C74" s="106" t="n">
        <f aca="false">AVERAGE(Assumptions!K35:K46)</f>
        <v>0.0787741666666667</v>
      </c>
      <c r="D74" s="106" t="n">
        <f aca="false">AVERAGE(Assumptions!K47:K58)</f>
        <v>0.0669183333333333</v>
      </c>
      <c r="E74" s="106" t="n">
        <f aca="false">AVERAGE(Assumptions!K59:K70)</f>
        <v>0.0568475</v>
      </c>
      <c r="F74" s="106" t="n">
        <f aca="false">AVERAGE(Assumptions!K71:K82)</f>
        <v>0.052</v>
      </c>
    </row>
    <row r="75" customFormat="false" ht="15" hidden="false" customHeight="false" outlineLevel="0" collapsed="false">
      <c r="A75" s="62" t="s">
        <v>586</v>
      </c>
      <c r="B75" s="110" t="n">
        <f aca="false">B72*10^6*B74/10^7</f>
        <v>0.0032022</v>
      </c>
      <c r="C75" s="110" t="n">
        <f aca="false">C72*10^6*C74/10^7</f>
        <v>0.20737299375</v>
      </c>
      <c r="D75" s="110" t="n">
        <f aca="false">D72*10^6*D74/10^7</f>
        <v>1.354373532</v>
      </c>
      <c r="E75" s="110" t="n">
        <f aca="false">E72*10^6*E74/10^7</f>
        <v>5.034346383</v>
      </c>
      <c r="F75" s="110" t="n">
        <f aca="false">F72*10^6*F74/10^7</f>
        <v>12.9555816</v>
      </c>
    </row>
    <row r="76" customFormat="false" ht="15" hidden="false" customHeight="false" outlineLevel="0" collapsed="false">
      <c r="A76" s="62" t="s">
        <v>587</v>
      </c>
      <c r="B76" s="110" t="n">
        <f aca="false">B73*10^6/10^7</f>
        <v>0</v>
      </c>
      <c r="C76" s="110" t="n">
        <f aca="false">C73*10^6/10^7</f>
        <v>1.3285</v>
      </c>
      <c r="D76" s="110" t="n">
        <f aca="false">D73*10^6/10^7</f>
        <v>14.7792</v>
      </c>
      <c r="E76" s="110" t="n">
        <f aca="false">E73*10^6/10^7</f>
        <v>74.6088</v>
      </c>
      <c r="F76" s="110" t="n">
        <f aca="false">F73*10^6/10^7</f>
        <v>221.1458</v>
      </c>
    </row>
    <row r="78" customFormat="false" ht="15" hidden="false" customHeight="false" outlineLevel="0" collapsed="false">
      <c r="A78" s="52" t="s">
        <v>588</v>
      </c>
      <c r="B78" s="109"/>
      <c r="C78" s="109"/>
      <c r="D78" s="109"/>
      <c r="E78" s="109"/>
      <c r="F78" s="109"/>
    </row>
    <row r="79" customFormat="false" ht="15" hidden="false" customHeight="false" outlineLevel="0" collapsed="false">
      <c r="A79" s="62" t="s">
        <v>589</v>
      </c>
      <c r="B79" s="112" t="n">
        <f aca="false">B72*Assumptions!$B$131</f>
        <v>0.72</v>
      </c>
      <c r="C79" s="112" t="n">
        <f aca="false">C72*Assumptions!$B$131</f>
        <v>52.65</v>
      </c>
      <c r="D79" s="112" t="n">
        <f aca="false">D72*Assumptions!$B$131</f>
        <v>404.784</v>
      </c>
      <c r="E79" s="112" t="n">
        <f aca="false">E72*Assumptions!$B$131</f>
        <v>1771.176</v>
      </c>
      <c r="F79" s="112" t="n">
        <f aca="false">F72*Assumptions!$B$131</f>
        <v>4982.916</v>
      </c>
    </row>
    <row r="80" customFormat="false" ht="15" hidden="false" customHeight="false" outlineLevel="0" collapsed="false">
      <c r="A80" s="62" t="s">
        <v>590</v>
      </c>
      <c r="B80" s="110" t="n">
        <f aca="false">B75*Assumptions!$B$131*Assumptions!$B$135</f>
        <v>0.0032022</v>
      </c>
      <c r="C80" s="110" t="n">
        <f aca="false">C75*Assumptions!$B$131*Assumptions!$B$135</f>
        <v>0.20737299375</v>
      </c>
      <c r="D80" s="110" t="n">
        <f aca="false">D75*Assumptions!$B$131*Assumptions!$B$135</f>
        <v>1.354373532</v>
      </c>
      <c r="E80" s="110" t="n">
        <f aca="false">E75*Assumptions!$B$131*Assumptions!$B$135</f>
        <v>5.034346383</v>
      </c>
      <c r="F80" s="110" t="n">
        <f aca="false">F75*Assumptions!$B$131*Assumptions!$B$135</f>
        <v>12.9555816</v>
      </c>
    </row>
    <row r="81" customFormat="false" ht="15" hidden="false" customHeight="false" outlineLevel="0" collapsed="false">
      <c r="A81" s="62" t="s">
        <v>591</v>
      </c>
      <c r="B81" s="112" t="n">
        <f aca="false">B73*Assumptions!$B$131*Assumptions!$B$132</f>
        <v>0</v>
      </c>
      <c r="C81" s="112" t="n">
        <f aca="false">C73*Assumptions!$B$131*Assumptions!$B$132</f>
        <v>13.285</v>
      </c>
      <c r="D81" s="112" t="n">
        <f aca="false">D73*Assumptions!$B$131*Assumptions!$B$132</f>
        <v>147.792</v>
      </c>
      <c r="E81" s="112" t="n">
        <f aca="false">E73*Assumptions!$B$131*Assumptions!$B$132</f>
        <v>746.088</v>
      </c>
      <c r="F81" s="112" t="n">
        <f aca="false">F73*Assumptions!$B$131*Assumptions!$B$132</f>
        <v>2211.458</v>
      </c>
    </row>
    <row r="82" customFormat="false" ht="15" hidden="false" customHeight="false" outlineLevel="0" collapsed="false">
      <c r="A82" s="62" t="s">
        <v>592</v>
      </c>
      <c r="B82" s="110" t="n">
        <f aca="false">B76*Assumptions!$B$131*Assumptions!$B$132*Assumptions!$B$133</f>
        <v>0</v>
      </c>
      <c r="C82" s="110" t="n">
        <f aca="false">C76*Assumptions!$B$131*Assumptions!$B$132*Assumptions!$B$133</f>
        <v>0.13285</v>
      </c>
      <c r="D82" s="110" t="n">
        <f aca="false">D76*Assumptions!$B$131*Assumptions!$B$132*Assumptions!$B$133</f>
        <v>1.47792</v>
      </c>
      <c r="E82" s="110" t="n">
        <f aca="false">E76*Assumptions!$B$131*Assumptions!$B$132*Assumptions!$B$133</f>
        <v>7.46088</v>
      </c>
      <c r="F82" s="110" t="n">
        <f aca="false">F76*Assumptions!$B$131*Assumptions!$B$132*Assumptions!$B$133</f>
        <v>22.11458</v>
      </c>
    </row>
    <row r="84" customFormat="false" ht="15" hidden="false" customHeight="false" outlineLevel="0" collapsed="false">
      <c r="A84" s="113" t="s">
        <v>593</v>
      </c>
      <c r="B84" s="114"/>
      <c r="C84" s="114"/>
      <c r="D84" s="114"/>
      <c r="E84" s="114"/>
      <c r="F84" s="114"/>
    </row>
    <row r="85" customFormat="false" ht="15" hidden="false" customHeight="false" outlineLevel="0" collapsed="false">
      <c r="A85" s="62" t="s">
        <v>594</v>
      </c>
      <c r="B85" s="115" t="n">
        <f aca="false">Assumptions!B120</f>
        <v>0</v>
      </c>
    </row>
    <row r="86" customFormat="false" ht="15" hidden="false" customHeight="false" outlineLevel="0" collapsed="false">
      <c r="A86" s="62" t="s">
        <v>595</v>
      </c>
      <c r="B86" s="115" t="n">
        <f aca="false">Assumptions!B130</f>
        <v>0</v>
      </c>
    </row>
    <row r="87" customFormat="false" ht="15" hidden="false" customHeight="false" outlineLevel="0" collapsed="false">
      <c r="A87" s="62" t="s">
        <v>596</v>
      </c>
      <c r="B87" s="115" t="n">
        <f aca="false">Assumptions!B134</f>
        <v>0</v>
      </c>
    </row>
    <row r="88" customFormat="false" ht="15" hidden="false" customHeight="false" outlineLevel="0" collapsed="false">
      <c r="A88" s="62" t="s">
        <v>284</v>
      </c>
      <c r="B88" s="110" t="n">
        <f aca="false">B65*$B$85+B82*$B$86</f>
        <v>0</v>
      </c>
      <c r="C88" s="110" t="n">
        <f aca="false">C65*$B$85+C82*$B$86</f>
        <v>0</v>
      </c>
      <c r="D88" s="110" t="n">
        <f aca="false">D65*$B$85+D82*$B$86</f>
        <v>0</v>
      </c>
      <c r="E88" s="110" t="n">
        <f aca="false">E65*$B$85+E82*$B$86</f>
        <v>0</v>
      </c>
      <c r="F88" s="110" t="n">
        <f aca="false">F65*$B$85+F82*$B$86</f>
        <v>0</v>
      </c>
    </row>
    <row r="89" customFormat="false" ht="15" hidden="false" customHeight="false" outlineLevel="0" collapsed="false">
      <c r="A89" s="62" t="s">
        <v>285</v>
      </c>
      <c r="B89" s="110" t="n">
        <f aca="false">B66*$B$85+B80*$B$87</f>
        <v>0</v>
      </c>
      <c r="C89" s="110" t="n">
        <f aca="false">C66*$B$85+C80*$B$87</f>
        <v>0</v>
      </c>
      <c r="D89" s="110" t="n">
        <f aca="false">D66*$B$85+D80*$B$87</f>
        <v>0</v>
      </c>
      <c r="E89" s="110" t="n">
        <f aca="false">E66*$B$85+E80*$B$87</f>
        <v>0</v>
      </c>
      <c r="F89" s="110" t="n">
        <f aca="false">F66*$B$85+F80*$B$87</f>
        <v>0</v>
      </c>
    </row>
    <row r="90" customFormat="false" ht="15" hidden="false" customHeight="false" outlineLevel="0" collapsed="false">
      <c r="A90" s="64" t="s">
        <v>286</v>
      </c>
      <c r="B90" s="111" t="n">
        <f aca="false">B88-B89</f>
        <v>0</v>
      </c>
      <c r="C90" s="111" t="n">
        <f aca="false">C88-C89</f>
        <v>0</v>
      </c>
      <c r="D90" s="111" t="n">
        <f aca="false">D88-D89</f>
        <v>0</v>
      </c>
      <c r="E90" s="111" t="n">
        <f aca="false">E88-E89</f>
        <v>0</v>
      </c>
      <c r="F90" s="111" t="n">
        <f aca="false">F88-F89</f>
        <v>0</v>
      </c>
    </row>
    <row r="91" customFormat="false" ht="15" hidden="false" customHeight="false" outlineLevel="0" collapsed="false">
      <c r="A91" s="64" t="s">
        <v>597</v>
      </c>
      <c r="B91" s="111" t="n">
        <f aca="false">B68*$B$85+SUM($B$82:B82)*$B$86-SUM($B$80:B80)*$B$87</f>
        <v>0</v>
      </c>
      <c r="C91" s="111" t="n">
        <f aca="false">C68*$B$85+SUM($B$82:C82)*$B$86-SUM($B$80:C80)*$B$87</f>
        <v>0</v>
      </c>
      <c r="D91" s="111" t="n">
        <f aca="false">D68*$B$85+SUM($B$82:D82)*$B$86-SUM($B$80:D80)*$B$87</f>
        <v>0</v>
      </c>
      <c r="E91" s="111" t="n">
        <f aca="false">E68*$B$85+SUM($B$82:E82)*$B$86-SUM($B$80:E80)*$B$87</f>
        <v>0</v>
      </c>
      <c r="F91" s="111" t="n">
        <f aca="false">F68*$B$85+SUM($B$82:F82)*$B$86-SUM($B$80:F80)*$B$87</f>
        <v>0</v>
      </c>
    </row>
    <row r="92" customFormat="false" ht="15" hidden="false" customHeight="false" outlineLevel="0" collapsed="false">
      <c r="A92" s="62" t="s">
        <v>581</v>
      </c>
      <c r="B92" s="110" t="n">
        <f aca="false">B69*$B$85</f>
        <v>0</v>
      </c>
      <c r="C92" s="110" t="n">
        <f aca="false">C69*$B$85</f>
        <v>0</v>
      </c>
      <c r="D92" s="110" t="n">
        <f aca="false">D69*$B$85</f>
        <v>0</v>
      </c>
      <c r="E92" s="110" t="n">
        <f aca="false">E69*$B$85</f>
        <v>0</v>
      </c>
      <c r="F92" s="110" t="n">
        <f aca="false">F69*$B$85</f>
        <v>0</v>
      </c>
    </row>
    <row r="94" customFormat="false" ht="39.75" hidden="false" customHeight="true" outlineLevel="0" collapsed="false">
      <c r="A94" s="16" t="s">
        <v>598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</row>
  </sheetData>
  <mergeCells count="4">
    <mergeCell ref="A1:M1"/>
    <mergeCell ref="A2:M2"/>
    <mergeCell ref="A3:M3"/>
    <mergeCell ref="A94:M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52"/>
    <col collapsed="false" customWidth="true" hidden="false" outlineLevel="0" max="4" min="4" style="0" width="22"/>
    <col collapsed="false" customWidth="true" hidden="false" outlineLevel="0" max="5" min="5" style="0" width="56"/>
  </cols>
  <sheetData>
    <row r="1" customFormat="false" ht="30" hidden="false" customHeight="true" outlineLevel="0" collapsed="false">
      <c r="A1" s="20" t="s">
        <v>599</v>
      </c>
      <c r="B1" s="20"/>
      <c r="C1" s="20"/>
      <c r="D1" s="20"/>
    </row>
    <row r="2" customFormat="false" ht="15.75" hidden="false" customHeight="true" outlineLevel="0" collapsed="false">
      <c r="A2" s="21" t="s">
        <v>600</v>
      </c>
      <c r="B2" s="21"/>
      <c r="C2" s="21"/>
      <c r="D2" s="21"/>
    </row>
    <row r="3" customFormat="false" ht="13.5" hidden="false" customHeight="true" outlineLevel="0" collapsed="false">
      <c r="A3" s="22" t="s">
        <v>601</v>
      </c>
      <c r="B3" s="22"/>
      <c r="C3" s="22"/>
      <c r="D3" s="22"/>
    </row>
    <row r="5" customFormat="false" ht="16.5" hidden="false" customHeight="true" outlineLevel="0" collapsed="false">
      <c r="A5" s="11" t="s">
        <v>602</v>
      </c>
      <c r="B5" s="24" t="s">
        <v>197</v>
      </c>
      <c r="C5" s="24" t="s">
        <v>603</v>
      </c>
      <c r="D5" s="24" t="s">
        <v>604</v>
      </c>
      <c r="E5" s="116" t="s">
        <v>605</v>
      </c>
    </row>
    <row r="6" customFormat="false" ht="63.75" hidden="false" customHeight="true" outlineLevel="0" collapsed="false">
      <c r="A6" s="59" t="s">
        <v>606</v>
      </c>
      <c r="B6" s="117" t="s">
        <v>607</v>
      </c>
      <c r="C6" s="117" t="s">
        <v>608</v>
      </c>
      <c r="D6" s="118" t="s">
        <v>609</v>
      </c>
      <c r="E6" s="119" t="s">
        <v>610</v>
      </c>
    </row>
    <row r="7" customFormat="false" ht="63.75" hidden="false" customHeight="true" outlineLevel="0" collapsed="false">
      <c r="A7" s="47" t="s">
        <v>611</v>
      </c>
      <c r="B7" s="120" t="s">
        <v>612</v>
      </c>
      <c r="C7" s="120" t="s">
        <v>613</v>
      </c>
      <c r="D7" s="47" t="s">
        <v>614</v>
      </c>
      <c r="E7" s="119" t="s">
        <v>615</v>
      </c>
    </row>
    <row r="8" customFormat="false" ht="63.75" hidden="false" customHeight="true" outlineLevel="0" collapsed="false">
      <c r="A8" s="59" t="s">
        <v>616</v>
      </c>
      <c r="B8" s="117" t="s">
        <v>617</v>
      </c>
      <c r="C8" s="117" t="s">
        <v>618</v>
      </c>
      <c r="D8" s="59" t="s">
        <v>619</v>
      </c>
      <c r="E8" s="119" t="s">
        <v>620</v>
      </c>
    </row>
    <row r="9" customFormat="false" ht="63.75" hidden="false" customHeight="true" outlineLevel="0" collapsed="false">
      <c r="A9" s="47" t="s">
        <v>621</v>
      </c>
      <c r="B9" s="120" t="s">
        <v>622</v>
      </c>
      <c r="C9" s="120" t="s">
        <v>623</v>
      </c>
      <c r="D9" s="47" t="s">
        <v>624</v>
      </c>
      <c r="E9" s="119" t="s">
        <v>625</v>
      </c>
    </row>
    <row r="10" customFormat="false" ht="63.75" hidden="false" customHeight="true" outlineLevel="0" collapsed="false">
      <c r="A10" s="59" t="s">
        <v>626</v>
      </c>
      <c r="B10" s="117" t="s">
        <v>627</v>
      </c>
      <c r="C10" s="117" t="s">
        <v>628</v>
      </c>
      <c r="D10" s="59" t="s">
        <v>629</v>
      </c>
      <c r="E10" s="119" t="s">
        <v>630</v>
      </c>
    </row>
    <row r="11" customFormat="false" ht="63.75" hidden="false" customHeight="true" outlineLevel="0" collapsed="false">
      <c r="A11" s="47" t="s">
        <v>626</v>
      </c>
      <c r="B11" s="120" t="s">
        <v>631</v>
      </c>
      <c r="C11" s="120" t="s">
        <v>632</v>
      </c>
      <c r="D11" s="47" t="s">
        <v>633</v>
      </c>
      <c r="E11" s="119" t="s">
        <v>634</v>
      </c>
    </row>
    <row r="12" customFormat="false" ht="63.75" hidden="false" customHeight="true" outlineLevel="0" collapsed="false">
      <c r="A12" s="59" t="s">
        <v>635</v>
      </c>
      <c r="B12" s="117" t="s">
        <v>636</v>
      </c>
      <c r="C12" s="117" t="s">
        <v>637</v>
      </c>
      <c r="D12" s="59" t="s">
        <v>633</v>
      </c>
      <c r="E12" s="119" t="s">
        <v>638</v>
      </c>
    </row>
    <row r="13" customFormat="false" ht="63.75" hidden="false" customHeight="true" outlineLevel="0" collapsed="false">
      <c r="A13" s="47" t="s">
        <v>635</v>
      </c>
      <c r="B13" s="120" t="s">
        <v>639</v>
      </c>
      <c r="C13" s="120" t="s">
        <v>640</v>
      </c>
      <c r="D13" s="121" t="s">
        <v>641</v>
      </c>
      <c r="E13" s="119" t="s">
        <v>642</v>
      </c>
    </row>
    <row r="14" customFormat="false" ht="63.75" hidden="false" customHeight="true" outlineLevel="0" collapsed="false">
      <c r="A14" s="59" t="s">
        <v>643</v>
      </c>
      <c r="B14" s="117" t="s">
        <v>644</v>
      </c>
      <c r="C14" s="117" t="s">
        <v>645</v>
      </c>
      <c r="D14" s="118" t="s">
        <v>646</v>
      </c>
      <c r="E14" s="119" t="s">
        <v>647</v>
      </c>
    </row>
    <row r="15" customFormat="false" ht="63.75" hidden="false" customHeight="true" outlineLevel="0" collapsed="false">
      <c r="A15" s="47" t="s">
        <v>643</v>
      </c>
      <c r="B15" s="120" t="s">
        <v>648</v>
      </c>
      <c r="C15" s="120" t="s">
        <v>649</v>
      </c>
      <c r="D15" s="121" t="s">
        <v>650</v>
      </c>
      <c r="E15" s="119" t="s">
        <v>651</v>
      </c>
    </row>
    <row r="16" customFormat="false" ht="63.75" hidden="false" customHeight="true" outlineLevel="0" collapsed="false">
      <c r="A16" s="59" t="s">
        <v>652</v>
      </c>
      <c r="B16" s="117" t="s">
        <v>653</v>
      </c>
      <c r="C16" s="117" t="s">
        <v>654</v>
      </c>
      <c r="D16" s="59" t="s">
        <v>629</v>
      </c>
      <c r="E16" s="119" t="s">
        <v>655</v>
      </c>
    </row>
    <row r="17" customFormat="false" ht="63.75" hidden="false" customHeight="true" outlineLevel="0" collapsed="false">
      <c r="A17" s="47" t="s">
        <v>656</v>
      </c>
      <c r="B17" s="120" t="s">
        <v>657</v>
      </c>
      <c r="C17" s="120" t="s">
        <v>658</v>
      </c>
      <c r="D17" s="47" t="s">
        <v>659</v>
      </c>
      <c r="E17" s="119" t="s">
        <v>660</v>
      </c>
    </row>
    <row r="18" customFormat="false" ht="63.75" hidden="false" customHeight="true" outlineLevel="0" collapsed="false">
      <c r="A18" s="59" t="s">
        <v>661</v>
      </c>
      <c r="B18" s="117" t="s">
        <v>662</v>
      </c>
      <c r="C18" s="117" t="s">
        <v>663</v>
      </c>
      <c r="D18" s="59" t="s">
        <v>664</v>
      </c>
      <c r="E18" s="119" t="s">
        <v>660</v>
      </c>
    </row>
    <row r="19" customFormat="false" ht="63.75" hidden="false" customHeight="true" outlineLevel="0" collapsed="false">
      <c r="A19" s="64" t="s">
        <v>665</v>
      </c>
      <c r="B19" s="119" t="s">
        <v>666</v>
      </c>
      <c r="C19" s="119" t="s">
        <v>667</v>
      </c>
      <c r="D19" s="122" t="s">
        <v>668</v>
      </c>
      <c r="E19" s="119" t="s">
        <v>669</v>
      </c>
    </row>
    <row r="20" customFormat="false" ht="18.75" hidden="false" customHeight="true" outlineLevel="0" collapsed="false">
      <c r="A20" s="23" t="s">
        <v>670</v>
      </c>
      <c r="B20" s="23"/>
      <c r="C20" s="23"/>
      <c r="D20" s="23"/>
    </row>
    <row r="21" customFormat="false" ht="15" hidden="false" customHeight="false" outlineLevel="0" collapsed="false">
      <c r="A21" s="10" t="s">
        <v>671</v>
      </c>
      <c r="B21" s="10"/>
      <c r="C21" s="10"/>
      <c r="D21" s="10"/>
    </row>
    <row r="22" customFormat="false" ht="15" hidden="false" customHeight="false" outlineLevel="0" collapsed="false">
      <c r="A22" s="10" t="s">
        <v>672</v>
      </c>
      <c r="B22" s="10"/>
      <c r="C22" s="10"/>
      <c r="D22" s="10"/>
    </row>
    <row r="23" customFormat="false" ht="15" hidden="false" customHeight="false" outlineLevel="0" collapsed="false">
      <c r="A23" s="10" t="s">
        <v>673</v>
      </c>
      <c r="B23" s="10"/>
      <c r="C23" s="10"/>
      <c r="D23" s="10"/>
    </row>
  </sheetData>
  <mergeCells count="7">
    <mergeCell ref="A1:D1"/>
    <mergeCell ref="A2:D2"/>
    <mergeCell ref="A3:D3"/>
    <mergeCell ref="A20:D20"/>
    <mergeCell ref="A21:D21"/>
    <mergeCell ref="A22:D22"/>
    <mergeCell ref="A23:D23"/>
  </mergeCells>
  <conditionalFormatting sqref="B6:D24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3" right="0.3" top="0.45" bottom="0.4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5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44"/>
  </cols>
  <sheetData>
    <row r="1" customFormat="false" ht="19.7" hidden="false" customHeight="false" outlineLevel="0" collapsed="false">
      <c r="A1" s="100" t="s">
        <v>674</v>
      </c>
      <c r="B1" s="100"/>
      <c r="C1" s="100"/>
      <c r="D1" s="100"/>
      <c r="E1" s="100"/>
      <c r="F1" s="100"/>
    </row>
    <row r="2" customFormat="false" ht="15" hidden="false" customHeight="true" outlineLevel="0" collapsed="false">
      <c r="A2" s="101" t="s">
        <v>675</v>
      </c>
      <c r="B2" s="101"/>
      <c r="C2" s="101"/>
      <c r="D2" s="101"/>
      <c r="E2" s="101"/>
      <c r="F2" s="101"/>
    </row>
    <row r="3" customFormat="false" ht="42" hidden="false" customHeight="true" outlineLevel="0" collapsed="false">
      <c r="A3" s="16" t="s">
        <v>676</v>
      </c>
      <c r="B3" s="16"/>
      <c r="C3" s="16"/>
      <c r="D3" s="16"/>
      <c r="E3" s="16"/>
      <c r="F3" s="16"/>
    </row>
    <row r="5" customFormat="false" ht="15" hidden="false" customHeight="true" outlineLevel="0" collapsed="false">
      <c r="A5" s="52" t="s">
        <v>677</v>
      </c>
      <c r="B5" s="123" t="s">
        <v>678</v>
      </c>
      <c r="C5" s="123"/>
      <c r="D5" s="123"/>
      <c r="E5" s="123"/>
      <c r="F5" s="123"/>
    </row>
    <row r="6" customFormat="false" ht="15" hidden="false" customHeight="true" outlineLevel="0" collapsed="false">
      <c r="A6" s="52" t="s">
        <v>679</v>
      </c>
      <c r="B6" s="123" t="s">
        <v>680</v>
      </c>
      <c r="C6" s="123"/>
      <c r="D6" s="123"/>
      <c r="E6" s="123"/>
      <c r="F6" s="123"/>
    </row>
    <row r="7" customFormat="false" ht="15" hidden="false" customHeight="true" outlineLevel="0" collapsed="false">
      <c r="A7" s="52" t="s">
        <v>681</v>
      </c>
      <c r="B7" s="123" t="s">
        <v>682</v>
      </c>
      <c r="C7" s="123"/>
      <c r="D7" s="123"/>
      <c r="E7" s="123"/>
      <c r="F7" s="123"/>
    </row>
    <row r="8" customFormat="false" ht="15" hidden="false" customHeight="true" outlineLevel="0" collapsed="false">
      <c r="A8" s="52" t="s">
        <v>683</v>
      </c>
      <c r="B8" s="123" t="s">
        <v>684</v>
      </c>
      <c r="C8" s="123"/>
      <c r="D8" s="123"/>
      <c r="E8" s="123"/>
      <c r="F8" s="123"/>
    </row>
    <row r="9" customFormat="false" ht="15" hidden="false" customHeight="true" outlineLevel="0" collapsed="false">
      <c r="A9" s="52" t="s">
        <v>685</v>
      </c>
      <c r="B9" s="123" t="s">
        <v>686</v>
      </c>
      <c r="C9" s="123"/>
      <c r="D9" s="123"/>
      <c r="E9" s="123"/>
      <c r="F9" s="123"/>
    </row>
    <row r="10" customFormat="false" ht="75" hidden="false" customHeight="true" outlineLevel="0" collapsed="false">
      <c r="A10" s="52" t="s">
        <v>687</v>
      </c>
      <c r="B10" s="123" t="s">
        <v>688</v>
      </c>
      <c r="C10" s="123"/>
      <c r="D10" s="123"/>
      <c r="E10" s="123"/>
      <c r="F10" s="123"/>
    </row>
    <row r="11" customFormat="false" ht="30" hidden="false" customHeight="true" outlineLevel="0" collapsed="false">
      <c r="A11" s="52" t="s">
        <v>689</v>
      </c>
      <c r="B11" s="123" t="s">
        <v>690</v>
      </c>
      <c r="C11" s="123"/>
      <c r="D11" s="123"/>
      <c r="E11" s="123"/>
      <c r="F11" s="123"/>
    </row>
    <row r="12" customFormat="false" ht="15" hidden="false" customHeight="true" outlineLevel="0" collapsed="false">
      <c r="A12" s="52" t="s">
        <v>691</v>
      </c>
      <c r="B12" s="123" t="s">
        <v>692</v>
      </c>
      <c r="C12" s="123"/>
      <c r="D12" s="123"/>
      <c r="E12" s="123"/>
      <c r="F12" s="123"/>
    </row>
    <row r="14" customFormat="false" ht="15" hidden="false" customHeight="false" outlineLevel="0" collapsed="false">
      <c r="A14" s="116" t="s">
        <v>693</v>
      </c>
      <c r="B14" s="116" t="s">
        <v>694</v>
      </c>
      <c r="C14" s="116" t="s">
        <v>695</v>
      </c>
      <c r="D14" s="116" t="s">
        <v>696</v>
      </c>
      <c r="E14" s="116" t="s">
        <v>697</v>
      </c>
      <c r="F14" s="116" t="s">
        <v>698</v>
      </c>
    </row>
    <row r="15" customFormat="false" ht="45" hidden="false" customHeight="true" outlineLevel="0" collapsed="false">
      <c r="A15" s="122" t="s">
        <v>699</v>
      </c>
      <c r="B15" s="119" t="s">
        <v>700</v>
      </c>
      <c r="C15" s="122" t="s">
        <v>701</v>
      </c>
      <c r="D15" s="119" t="s">
        <v>702</v>
      </c>
      <c r="E15" s="119" t="s">
        <v>703</v>
      </c>
      <c r="F15" s="119" t="s">
        <v>704</v>
      </c>
    </row>
    <row r="16" customFormat="false" ht="90" hidden="false" customHeight="true" outlineLevel="0" collapsed="false">
      <c r="A16" s="122" t="s">
        <v>705</v>
      </c>
      <c r="B16" s="119" t="s">
        <v>706</v>
      </c>
      <c r="C16" s="122" t="s">
        <v>707</v>
      </c>
      <c r="D16" s="119" t="s">
        <v>708</v>
      </c>
      <c r="E16" s="119" t="s">
        <v>709</v>
      </c>
      <c r="F16" s="119" t="s">
        <v>668</v>
      </c>
    </row>
    <row r="17" customFormat="false" ht="75" hidden="false" customHeight="true" outlineLevel="0" collapsed="false">
      <c r="A17" s="122" t="s">
        <v>710</v>
      </c>
      <c r="B17" s="119" t="s">
        <v>711</v>
      </c>
      <c r="C17" s="122" t="s">
        <v>701</v>
      </c>
      <c r="D17" s="119" t="s">
        <v>712</v>
      </c>
      <c r="E17" s="119" t="s">
        <v>713</v>
      </c>
      <c r="F17" s="119" t="s">
        <v>668</v>
      </c>
    </row>
    <row r="18" customFormat="false" ht="60" hidden="false" customHeight="true" outlineLevel="0" collapsed="false">
      <c r="A18" s="122" t="s">
        <v>714</v>
      </c>
      <c r="B18" s="119" t="s">
        <v>715</v>
      </c>
      <c r="C18" s="122" t="s">
        <v>701</v>
      </c>
      <c r="D18" s="119" t="s">
        <v>716</v>
      </c>
      <c r="E18" s="119" t="s">
        <v>703</v>
      </c>
      <c r="F18" s="119" t="s">
        <v>717</v>
      </c>
    </row>
    <row r="19" customFormat="false" ht="75" hidden="false" customHeight="true" outlineLevel="0" collapsed="false">
      <c r="A19" s="122" t="s">
        <v>718</v>
      </c>
      <c r="B19" s="119" t="s">
        <v>719</v>
      </c>
      <c r="C19" s="122" t="s">
        <v>701</v>
      </c>
      <c r="D19" s="119" t="s">
        <v>720</v>
      </c>
      <c r="E19" s="119" t="s">
        <v>721</v>
      </c>
      <c r="F19" s="119" t="s">
        <v>668</v>
      </c>
    </row>
    <row r="20" customFormat="false" ht="135" hidden="false" customHeight="true" outlineLevel="0" collapsed="false">
      <c r="A20" s="122" t="s">
        <v>722</v>
      </c>
      <c r="B20" s="119" t="s">
        <v>723</v>
      </c>
      <c r="C20" s="122" t="s">
        <v>707</v>
      </c>
      <c r="D20" s="119" t="s">
        <v>724</v>
      </c>
      <c r="E20" s="119" t="s">
        <v>725</v>
      </c>
      <c r="F20" s="119" t="s">
        <v>726</v>
      </c>
    </row>
    <row r="21" customFormat="false" ht="75" hidden="false" customHeight="true" outlineLevel="0" collapsed="false">
      <c r="A21" s="122" t="s">
        <v>727</v>
      </c>
      <c r="B21" s="119" t="s">
        <v>728</v>
      </c>
      <c r="C21" s="122" t="s">
        <v>701</v>
      </c>
      <c r="D21" s="119" t="s">
        <v>729</v>
      </c>
      <c r="E21" s="119" t="s">
        <v>730</v>
      </c>
      <c r="F21" s="119" t="s">
        <v>668</v>
      </c>
    </row>
    <row r="22" customFormat="false" ht="75" hidden="false" customHeight="true" outlineLevel="0" collapsed="false">
      <c r="A22" s="122" t="s">
        <v>731</v>
      </c>
      <c r="B22" s="119" t="s">
        <v>732</v>
      </c>
      <c r="C22" s="122" t="s">
        <v>707</v>
      </c>
      <c r="D22" s="119" t="s">
        <v>733</v>
      </c>
      <c r="E22" s="119" t="s">
        <v>734</v>
      </c>
      <c r="F22" s="119" t="s">
        <v>668</v>
      </c>
    </row>
    <row r="23" customFormat="false" ht="90" hidden="false" customHeight="true" outlineLevel="0" collapsed="false">
      <c r="A23" s="122" t="s">
        <v>735</v>
      </c>
      <c r="B23" s="119" t="s">
        <v>736</v>
      </c>
      <c r="C23" s="122" t="s">
        <v>701</v>
      </c>
      <c r="D23" s="119" t="s">
        <v>737</v>
      </c>
      <c r="E23" s="119" t="s">
        <v>738</v>
      </c>
      <c r="F23" s="119" t="s">
        <v>739</v>
      </c>
    </row>
    <row r="24" customFormat="false" ht="30" hidden="false" customHeight="true" outlineLevel="0" collapsed="false">
      <c r="A24" s="122" t="s">
        <v>740</v>
      </c>
      <c r="B24" s="119" t="s">
        <v>741</v>
      </c>
      <c r="C24" s="122" t="s">
        <v>701</v>
      </c>
      <c r="D24" s="119" t="s">
        <v>742</v>
      </c>
      <c r="E24" s="119" t="s">
        <v>703</v>
      </c>
      <c r="F24" s="119" t="s">
        <v>743</v>
      </c>
    </row>
    <row r="25" customFormat="false" ht="105" hidden="false" customHeight="true" outlineLevel="0" collapsed="false">
      <c r="A25" s="122" t="s">
        <v>744</v>
      </c>
      <c r="B25" s="119" t="s">
        <v>745</v>
      </c>
      <c r="C25" s="122" t="s">
        <v>707</v>
      </c>
      <c r="D25" s="119" t="s">
        <v>746</v>
      </c>
      <c r="E25" s="119" t="s">
        <v>747</v>
      </c>
      <c r="F25" s="119" t="s">
        <v>748</v>
      </c>
    </row>
    <row r="26" customFormat="false" ht="45" hidden="false" customHeight="true" outlineLevel="0" collapsed="false">
      <c r="A26" s="122" t="s">
        <v>749</v>
      </c>
      <c r="B26" s="119" t="s">
        <v>745</v>
      </c>
      <c r="C26" s="122" t="s">
        <v>701</v>
      </c>
      <c r="D26" s="119" t="s">
        <v>750</v>
      </c>
      <c r="E26" s="119" t="s">
        <v>703</v>
      </c>
      <c r="F26" s="119" t="s">
        <v>748</v>
      </c>
    </row>
    <row r="27" customFormat="false" ht="120" hidden="false" customHeight="true" outlineLevel="0" collapsed="false">
      <c r="A27" s="122" t="s">
        <v>751</v>
      </c>
      <c r="B27" s="119" t="s">
        <v>752</v>
      </c>
      <c r="C27" s="122" t="s">
        <v>701</v>
      </c>
      <c r="D27" s="119" t="s">
        <v>753</v>
      </c>
      <c r="E27" s="119" t="s">
        <v>754</v>
      </c>
      <c r="F27" s="119" t="s">
        <v>755</v>
      </c>
    </row>
    <row r="28" customFormat="false" ht="75" hidden="false" customHeight="true" outlineLevel="0" collapsed="false">
      <c r="A28" s="122" t="s">
        <v>756</v>
      </c>
      <c r="B28" s="119" t="s">
        <v>757</v>
      </c>
      <c r="C28" s="122" t="s">
        <v>707</v>
      </c>
      <c r="D28" s="119" t="s">
        <v>758</v>
      </c>
      <c r="E28" s="119" t="s">
        <v>759</v>
      </c>
      <c r="F28" s="119" t="s">
        <v>668</v>
      </c>
    </row>
    <row r="29" customFormat="false" ht="60" hidden="false" customHeight="true" outlineLevel="0" collapsed="false">
      <c r="A29" s="122" t="s">
        <v>760</v>
      </c>
      <c r="B29" s="119" t="s">
        <v>761</v>
      </c>
      <c r="C29" s="122" t="s">
        <v>701</v>
      </c>
      <c r="D29" s="119" t="s">
        <v>762</v>
      </c>
      <c r="E29" s="119" t="s">
        <v>763</v>
      </c>
      <c r="F29" s="119" t="s">
        <v>668</v>
      </c>
    </row>
    <row r="30" customFormat="false" ht="45" hidden="false" customHeight="true" outlineLevel="0" collapsed="false">
      <c r="A30" s="122" t="s">
        <v>764</v>
      </c>
      <c r="B30" s="119" t="s">
        <v>765</v>
      </c>
      <c r="C30" s="122" t="s">
        <v>707</v>
      </c>
      <c r="D30" s="119" t="s">
        <v>766</v>
      </c>
      <c r="E30" s="119" t="s">
        <v>767</v>
      </c>
      <c r="F30" s="119" t="s">
        <v>668</v>
      </c>
    </row>
    <row r="31" customFormat="false" ht="75" hidden="false" customHeight="true" outlineLevel="0" collapsed="false">
      <c r="A31" s="122" t="s">
        <v>768</v>
      </c>
      <c r="B31" s="119" t="s">
        <v>769</v>
      </c>
      <c r="C31" s="122" t="s">
        <v>701</v>
      </c>
      <c r="D31" s="119" t="s">
        <v>770</v>
      </c>
      <c r="E31" s="119" t="s">
        <v>771</v>
      </c>
      <c r="F31" s="119" t="s">
        <v>668</v>
      </c>
    </row>
    <row r="32" customFormat="false" ht="45" hidden="false" customHeight="true" outlineLevel="0" collapsed="false">
      <c r="A32" s="122" t="s">
        <v>772</v>
      </c>
      <c r="B32" s="119" t="s">
        <v>773</v>
      </c>
      <c r="C32" s="122" t="s">
        <v>774</v>
      </c>
      <c r="D32" s="119" t="s">
        <v>775</v>
      </c>
      <c r="E32" s="119" t="s">
        <v>776</v>
      </c>
      <c r="F32" s="119" t="s">
        <v>777</v>
      </c>
    </row>
    <row r="33" customFormat="false" ht="30" hidden="false" customHeight="true" outlineLevel="0" collapsed="false">
      <c r="A33" s="122" t="s">
        <v>778</v>
      </c>
      <c r="B33" s="119" t="s">
        <v>779</v>
      </c>
      <c r="C33" s="122" t="s">
        <v>774</v>
      </c>
      <c r="D33" s="119" t="s">
        <v>780</v>
      </c>
      <c r="E33" s="119" t="s">
        <v>776</v>
      </c>
      <c r="F33" s="119" t="s">
        <v>781</v>
      </c>
    </row>
    <row r="34" customFormat="false" ht="30" hidden="false" customHeight="true" outlineLevel="0" collapsed="false">
      <c r="A34" s="122" t="s">
        <v>782</v>
      </c>
      <c r="B34" s="119" t="s">
        <v>783</v>
      </c>
      <c r="C34" s="122" t="s">
        <v>774</v>
      </c>
      <c r="D34" s="119" t="s">
        <v>780</v>
      </c>
      <c r="E34" s="119" t="s">
        <v>776</v>
      </c>
      <c r="F34" s="119" t="s">
        <v>784</v>
      </c>
    </row>
    <row r="35" customFormat="false" ht="30" hidden="false" customHeight="true" outlineLevel="0" collapsed="false">
      <c r="A35" s="122" t="s">
        <v>785</v>
      </c>
      <c r="B35" s="119" t="s">
        <v>786</v>
      </c>
      <c r="C35" s="122" t="s">
        <v>774</v>
      </c>
      <c r="D35" s="119" t="s">
        <v>780</v>
      </c>
      <c r="E35" s="119" t="s">
        <v>776</v>
      </c>
      <c r="F35" s="119" t="s">
        <v>787</v>
      </c>
    </row>
    <row r="36" customFormat="false" ht="30" hidden="false" customHeight="true" outlineLevel="0" collapsed="false">
      <c r="A36" s="122" t="s">
        <v>788</v>
      </c>
      <c r="B36" s="119" t="s">
        <v>789</v>
      </c>
      <c r="C36" s="122" t="s">
        <v>774</v>
      </c>
      <c r="D36" s="119" t="s">
        <v>790</v>
      </c>
      <c r="E36" s="119" t="s">
        <v>776</v>
      </c>
      <c r="F36" s="119" t="s">
        <v>668</v>
      </c>
    </row>
    <row r="37" customFormat="false" ht="30" hidden="false" customHeight="true" outlineLevel="0" collapsed="false">
      <c r="A37" s="122" t="s">
        <v>791</v>
      </c>
      <c r="B37" s="119" t="s">
        <v>792</v>
      </c>
      <c r="C37" s="122" t="s">
        <v>793</v>
      </c>
      <c r="D37" s="119" t="s">
        <v>794</v>
      </c>
      <c r="E37" s="119" t="s">
        <v>776</v>
      </c>
      <c r="F37" s="119" t="s">
        <v>668</v>
      </c>
    </row>
    <row r="38" customFormat="false" ht="15" hidden="false" customHeight="true" outlineLevel="0" collapsed="false">
      <c r="A38" s="122" t="s">
        <v>795</v>
      </c>
      <c r="B38" s="119" t="s">
        <v>796</v>
      </c>
      <c r="C38" s="122" t="s">
        <v>774</v>
      </c>
      <c r="D38" s="119" t="s">
        <v>780</v>
      </c>
      <c r="E38" s="119" t="s">
        <v>776</v>
      </c>
      <c r="F38" s="119" t="s">
        <v>668</v>
      </c>
    </row>
    <row r="39" customFormat="false" ht="30" hidden="false" customHeight="true" outlineLevel="0" collapsed="false">
      <c r="A39" s="122" t="s">
        <v>797</v>
      </c>
      <c r="B39" s="119" t="s">
        <v>798</v>
      </c>
      <c r="C39" s="122" t="s">
        <v>774</v>
      </c>
      <c r="D39" s="119" t="s">
        <v>799</v>
      </c>
      <c r="E39" s="119" t="s">
        <v>776</v>
      </c>
      <c r="F39" s="119" t="s">
        <v>668</v>
      </c>
    </row>
    <row r="40" customFormat="false" ht="15" hidden="false" customHeight="true" outlineLevel="0" collapsed="false">
      <c r="A40" s="122" t="s">
        <v>800</v>
      </c>
      <c r="B40" s="119" t="s">
        <v>801</v>
      </c>
      <c r="C40" s="122" t="s">
        <v>774</v>
      </c>
      <c r="D40" s="119" t="s">
        <v>780</v>
      </c>
      <c r="E40" s="119" t="s">
        <v>776</v>
      </c>
      <c r="F40" s="119" t="s">
        <v>668</v>
      </c>
    </row>
    <row r="41" customFormat="false" ht="45" hidden="false" customHeight="true" outlineLevel="0" collapsed="false">
      <c r="A41" s="122" t="s">
        <v>802</v>
      </c>
      <c r="B41" s="119" t="s">
        <v>803</v>
      </c>
      <c r="C41" s="122" t="s">
        <v>774</v>
      </c>
      <c r="D41" s="119" t="s">
        <v>804</v>
      </c>
      <c r="E41" s="119" t="s">
        <v>776</v>
      </c>
      <c r="F41" s="119" t="s">
        <v>668</v>
      </c>
    </row>
    <row r="42" customFormat="false" ht="30" hidden="false" customHeight="true" outlineLevel="0" collapsed="false">
      <c r="A42" s="122" t="s">
        <v>805</v>
      </c>
      <c r="B42" s="119" t="s">
        <v>806</v>
      </c>
      <c r="C42" s="122" t="s">
        <v>774</v>
      </c>
      <c r="D42" s="119" t="s">
        <v>807</v>
      </c>
      <c r="E42" s="119" t="s">
        <v>776</v>
      </c>
      <c r="F42" s="119" t="s">
        <v>808</v>
      </c>
    </row>
    <row r="44" customFormat="false" ht="27.75" hidden="false" customHeight="true" outlineLevel="0" collapsed="false">
      <c r="A44" s="16" t="s">
        <v>809</v>
      </c>
      <c r="B44" s="16"/>
      <c r="C44" s="16"/>
      <c r="D44" s="16"/>
      <c r="E44" s="16"/>
      <c r="F44" s="16"/>
    </row>
    <row r="45" customFormat="false" ht="27.75" hidden="false" customHeight="true" outlineLevel="0" collapsed="false">
      <c r="A45" s="16" t="s">
        <v>810</v>
      </c>
      <c r="B45" s="16"/>
      <c r="C45" s="16"/>
      <c r="D45" s="16"/>
      <c r="E45" s="16"/>
      <c r="F45" s="16"/>
    </row>
    <row r="46" customFormat="false" ht="27.75" hidden="false" customHeight="true" outlineLevel="0" collapsed="false">
      <c r="A46" s="16" t="s">
        <v>811</v>
      </c>
      <c r="B46" s="16"/>
      <c r="C46" s="16"/>
      <c r="D46" s="16"/>
      <c r="E46" s="16"/>
      <c r="F46" s="16"/>
    </row>
  </sheetData>
  <mergeCells count="14">
    <mergeCell ref="A1:F1"/>
    <mergeCell ref="A2:F2"/>
    <mergeCell ref="A3:F3"/>
    <mergeCell ref="B5:F5"/>
    <mergeCell ref="B6:F6"/>
    <mergeCell ref="B7:F7"/>
    <mergeCell ref="B8:F8"/>
    <mergeCell ref="B9:F9"/>
    <mergeCell ref="B10:F10"/>
    <mergeCell ref="B11:F11"/>
    <mergeCell ref="B12:F12"/>
    <mergeCell ref="A44:F44"/>
    <mergeCell ref="A45:F45"/>
    <mergeCell ref="A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7" min="6" style="0" width="46"/>
    <col collapsed="false" customWidth="true" hidden="false" outlineLevel="0" max="8" min="8" style="0" width="13"/>
    <col collapsed="false" customWidth="true" hidden="false" outlineLevel="0" max="9" min="9" style="0" width="30"/>
    <col collapsed="false" customWidth="true" hidden="false" outlineLevel="0" max="10" min="10" style="0" width="26"/>
  </cols>
  <sheetData>
    <row r="1" customFormat="false" ht="19.7" hidden="false" customHeight="false" outlineLevel="0" collapsed="false">
      <c r="A1" s="100" t="s">
        <v>812</v>
      </c>
      <c r="B1" s="100"/>
      <c r="C1" s="100"/>
      <c r="D1" s="100"/>
      <c r="E1" s="100"/>
      <c r="F1" s="100"/>
      <c r="G1" s="100"/>
      <c r="H1" s="100"/>
      <c r="I1" s="100"/>
      <c r="J1" s="100"/>
    </row>
    <row r="2" customFormat="false" ht="30" hidden="false" customHeight="true" outlineLevel="0" collapsed="false">
      <c r="A2" s="101" t="s">
        <v>813</v>
      </c>
      <c r="B2" s="101"/>
      <c r="C2" s="101"/>
      <c r="D2" s="101"/>
      <c r="E2" s="101"/>
      <c r="F2" s="101"/>
      <c r="G2" s="101"/>
      <c r="H2" s="101"/>
      <c r="I2" s="101"/>
      <c r="J2" s="101"/>
    </row>
    <row r="3" customFormat="false" ht="27.75" hidden="false" customHeight="true" outlineLevel="0" collapsed="false">
      <c r="A3" s="16" t="s">
        <v>814</v>
      </c>
      <c r="B3" s="16"/>
      <c r="C3" s="16"/>
      <c r="D3" s="16"/>
      <c r="E3" s="16"/>
      <c r="F3" s="16"/>
      <c r="G3" s="16"/>
      <c r="H3" s="16"/>
      <c r="I3" s="16"/>
      <c r="J3" s="16"/>
    </row>
    <row r="5" customFormat="false" ht="15" hidden="false" customHeight="false" outlineLevel="0" collapsed="false">
      <c r="A5" s="17" t="s">
        <v>815</v>
      </c>
      <c r="B5" s="17" t="s">
        <v>602</v>
      </c>
      <c r="C5" s="17" t="s">
        <v>32</v>
      </c>
      <c r="D5" s="17" t="s">
        <v>816</v>
      </c>
      <c r="E5" s="17" t="s">
        <v>817</v>
      </c>
      <c r="F5" s="17" t="s">
        <v>818</v>
      </c>
      <c r="G5" s="17" t="s">
        <v>819</v>
      </c>
      <c r="H5" s="17" t="s">
        <v>209</v>
      </c>
      <c r="I5" s="17" t="s">
        <v>820</v>
      </c>
      <c r="J5" s="17" t="s">
        <v>821</v>
      </c>
    </row>
    <row r="6" customFormat="false" ht="27.75" hidden="false" customHeight="true" outlineLevel="0" collapsed="false">
      <c r="A6" s="119" t="n">
        <v>1</v>
      </c>
      <c r="B6" s="119" t="s">
        <v>822</v>
      </c>
      <c r="C6" s="119" t="s">
        <v>823</v>
      </c>
      <c r="D6" s="119" t="s">
        <v>824</v>
      </c>
      <c r="E6" s="119" t="s">
        <v>825</v>
      </c>
      <c r="F6" s="119" t="s">
        <v>0</v>
      </c>
      <c r="G6" s="119" t="s">
        <v>826</v>
      </c>
      <c r="H6" s="119" t="s">
        <v>827</v>
      </c>
      <c r="I6" s="119" t="s">
        <v>668</v>
      </c>
      <c r="J6" s="119" t="s">
        <v>828</v>
      </c>
    </row>
    <row r="7" customFormat="false" ht="54" hidden="false" customHeight="true" outlineLevel="0" collapsed="false">
      <c r="A7" s="119" t="n">
        <v>2</v>
      </c>
      <c r="B7" s="119" t="s">
        <v>822</v>
      </c>
      <c r="C7" s="119" t="s">
        <v>823</v>
      </c>
      <c r="D7" s="119" t="s">
        <v>829</v>
      </c>
      <c r="E7" s="119" t="s">
        <v>830</v>
      </c>
      <c r="F7" s="119" t="s">
        <v>1</v>
      </c>
      <c r="G7" s="119" t="s">
        <v>831</v>
      </c>
      <c r="H7" s="119" t="s">
        <v>827</v>
      </c>
      <c r="I7" s="119" t="s">
        <v>668</v>
      </c>
      <c r="J7" s="119" t="s">
        <v>828</v>
      </c>
    </row>
    <row r="8" customFormat="false" ht="40.5" hidden="false" customHeight="true" outlineLevel="0" collapsed="false">
      <c r="A8" s="119" t="n">
        <v>3</v>
      </c>
      <c r="B8" s="119" t="s">
        <v>822</v>
      </c>
      <c r="C8" s="119" t="s">
        <v>823</v>
      </c>
      <c r="D8" s="119" t="s">
        <v>832</v>
      </c>
      <c r="E8" s="119" t="s">
        <v>833</v>
      </c>
      <c r="F8" s="119" t="s">
        <v>2</v>
      </c>
      <c r="G8" s="119" t="s">
        <v>834</v>
      </c>
      <c r="H8" s="119" t="s">
        <v>827</v>
      </c>
      <c r="I8" s="119" t="s">
        <v>668</v>
      </c>
      <c r="J8" s="119" t="s">
        <v>828</v>
      </c>
    </row>
    <row r="9" customFormat="false" ht="27.75" hidden="false" customHeight="true" outlineLevel="0" collapsed="false">
      <c r="A9" s="119" t="n">
        <v>4</v>
      </c>
      <c r="B9" s="119" t="s">
        <v>822</v>
      </c>
      <c r="C9" s="119" t="s">
        <v>823</v>
      </c>
      <c r="D9" s="119" t="s">
        <v>835</v>
      </c>
      <c r="E9" s="119" t="s">
        <v>836</v>
      </c>
      <c r="F9" s="119" t="s">
        <v>3</v>
      </c>
      <c r="G9" s="119" t="s">
        <v>837</v>
      </c>
      <c r="H9" s="119" t="s">
        <v>827</v>
      </c>
      <c r="I9" s="119" t="s">
        <v>668</v>
      </c>
      <c r="J9" s="119" t="s">
        <v>838</v>
      </c>
    </row>
    <row r="10" customFormat="false" ht="93" hidden="false" customHeight="true" outlineLevel="0" collapsed="false">
      <c r="A10" s="119" t="n">
        <v>5</v>
      </c>
      <c r="B10" s="119" t="s">
        <v>822</v>
      </c>
      <c r="C10" s="119" t="s">
        <v>823</v>
      </c>
      <c r="D10" s="119" t="s">
        <v>839</v>
      </c>
      <c r="E10" s="119" t="s">
        <v>836</v>
      </c>
      <c r="F10" s="119" t="s">
        <v>59</v>
      </c>
      <c r="G10" s="119" t="s">
        <v>840</v>
      </c>
      <c r="H10" s="119" t="s">
        <v>827</v>
      </c>
      <c r="I10" s="119" t="s">
        <v>668</v>
      </c>
      <c r="J10" s="119" t="s">
        <v>838</v>
      </c>
    </row>
    <row r="11" customFormat="false" ht="15" hidden="false" customHeight="true" outlineLevel="0" collapsed="false">
      <c r="A11" s="119" t="n">
        <v>6</v>
      </c>
      <c r="B11" s="119" t="s">
        <v>822</v>
      </c>
      <c r="C11" s="119" t="s">
        <v>823</v>
      </c>
      <c r="D11" s="119" t="s">
        <v>841</v>
      </c>
      <c r="E11" s="119" t="s">
        <v>836</v>
      </c>
      <c r="F11" s="119" t="s">
        <v>60</v>
      </c>
      <c r="G11" s="119" t="s">
        <v>842</v>
      </c>
      <c r="H11" s="119" t="s">
        <v>827</v>
      </c>
      <c r="I11" s="119" t="s">
        <v>668</v>
      </c>
      <c r="J11" s="119" t="s">
        <v>838</v>
      </c>
    </row>
    <row r="12" customFormat="false" ht="15" hidden="false" customHeight="true" outlineLevel="0" collapsed="false">
      <c r="A12" s="119" t="n">
        <v>7</v>
      </c>
      <c r="B12" s="119" t="s">
        <v>822</v>
      </c>
      <c r="C12" s="119" t="s">
        <v>823</v>
      </c>
      <c r="D12" s="119" t="s">
        <v>843</v>
      </c>
      <c r="E12" s="119" t="s">
        <v>836</v>
      </c>
      <c r="F12" s="119" t="s">
        <v>33</v>
      </c>
      <c r="G12" s="119" t="s">
        <v>842</v>
      </c>
      <c r="H12" s="119" t="s">
        <v>827</v>
      </c>
      <c r="I12" s="119" t="s">
        <v>668</v>
      </c>
      <c r="J12" s="119" t="s">
        <v>838</v>
      </c>
    </row>
    <row r="13" customFormat="false" ht="15" hidden="false" customHeight="true" outlineLevel="0" collapsed="false">
      <c r="A13" s="119" t="n">
        <v>8</v>
      </c>
      <c r="B13" s="119" t="s">
        <v>822</v>
      </c>
      <c r="C13" s="119" t="s">
        <v>823</v>
      </c>
      <c r="D13" s="119" t="s">
        <v>844</v>
      </c>
      <c r="E13" s="119" t="s">
        <v>836</v>
      </c>
      <c r="F13" s="119" t="s">
        <v>61</v>
      </c>
      <c r="G13" s="119" t="s">
        <v>842</v>
      </c>
      <c r="H13" s="119" t="s">
        <v>827</v>
      </c>
      <c r="I13" s="119" t="s">
        <v>668</v>
      </c>
      <c r="J13" s="119" t="s">
        <v>838</v>
      </c>
    </row>
    <row r="14" customFormat="false" ht="40.5" hidden="false" customHeight="true" outlineLevel="0" collapsed="false">
      <c r="A14" s="119" t="n">
        <v>9</v>
      </c>
      <c r="B14" s="119" t="s">
        <v>822</v>
      </c>
      <c r="C14" s="119" t="s">
        <v>823</v>
      </c>
      <c r="D14" s="119" t="s">
        <v>845</v>
      </c>
      <c r="E14" s="119" t="s">
        <v>836</v>
      </c>
      <c r="F14" s="119" t="s">
        <v>62</v>
      </c>
      <c r="G14" s="119" t="s">
        <v>842</v>
      </c>
      <c r="H14" s="119" t="s">
        <v>827</v>
      </c>
      <c r="I14" s="119" t="s">
        <v>668</v>
      </c>
      <c r="J14" s="119" t="s">
        <v>838</v>
      </c>
    </row>
    <row r="15" customFormat="false" ht="15" hidden="false" customHeight="true" outlineLevel="0" collapsed="false">
      <c r="A15" s="119" t="n">
        <v>10</v>
      </c>
      <c r="B15" s="119" t="s">
        <v>822</v>
      </c>
      <c r="C15" s="119" t="s">
        <v>823</v>
      </c>
      <c r="D15" s="119" t="s">
        <v>846</v>
      </c>
      <c r="E15" s="119" t="s">
        <v>836</v>
      </c>
      <c r="F15" s="119" t="s">
        <v>63</v>
      </c>
      <c r="G15" s="119" t="s">
        <v>842</v>
      </c>
      <c r="H15" s="119" t="s">
        <v>827</v>
      </c>
      <c r="I15" s="119" t="s">
        <v>668</v>
      </c>
      <c r="J15" s="119" t="s">
        <v>838</v>
      </c>
    </row>
    <row r="16" customFormat="false" ht="40.5" hidden="false" customHeight="true" outlineLevel="0" collapsed="false">
      <c r="A16" s="119" t="n">
        <v>11</v>
      </c>
      <c r="B16" s="119" t="s">
        <v>822</v>
      </c>
      <c r="C16" s="119" t="s">
        <v>823</v>
      </c>
      <c r="D16" s="119" t="s">
        <v>847</v>
      </c>
      <c r="E16" s="119" t="s">
        <v>836</v>
      </c>
      <c r="F16" s="119" t="s">
        <v>64</v>
      </c>
      <c r="G16" s="119" t="s">
        <v>842</v>
      </c>
      <c r="H16" s="119" t="s">
        <v>827</v>
      </c>
      <c r="I16" s="119" t="s">
        <v>668</v>
      </c>
      <c r="J16" s="119" t="s">
        <v>838</v>
      </c>
    </row>
    <row r="17" customFormat="false" ht="15" hidden="false" customHeight="true" outlineLevel="0" collapsed="false">
      <c r="A17" s="119" t="n">
        <v>12</v>
      </c>
      <c r="B17" s="119" t="s">
        <v>822</v>
      </c>
      <c r="C17" s="119" t="s">
        <v>823</v>
      </c>
      <c r="D17" s="119" t="s">
        <v>848</v>
      </c>
      <c r="E17" s="119" t="s">
        <v>836</v>
      </c>
      <c r="F17" s="119" t="s">
        <v>65</v>
      </c>
      <c r="G17" s="119" t="s">
        <v>842</v>
      </c>
      <c r="H17" s="119" t="s">
        <v>827</v>
      </c>
      <c r="I17" s="119" t="s">
        <v>668</v>
      </c>
      <c r="J17" s="119" t="s">
        <v>838</v>
      </c>
    </row>
    <row r="18" customFormat="false" ht="27.75" hidden="false" customHeight="true" outlineLevel="0" collapsed="false">
      <c r="A18" s="119" t="n">
        <v>13</v>
      </c>
      <c r="B18" s="119" t="s">
        <v>822</v>
      </c>
      <c r="C18" s="119" t="s">
        <v>823</v>
      </c>
      <c r="D18" s="119" t="s">
        <v>849</v>
      </c>
      <c r="E18" s="119" t="s">
        <v>836</v>
      </c>
      <c r="F18" s="119" t="s">
        <v>66</v>
      </c>
      <c r="G18" s="119" t="s">
        <v>842</v>
      </c>
      <c r="H18" s="119" t="s">
        <v>827</v>
      </c>
      <c r="I18" s="119" t="s">
        <v>668</v>
      </c>
      <c r="J18" s="119" t="s">
        <v>838</v>
      </c>
    </row>
    <row r="19" customFormat="false" ht="27.75" hidden="false" customHeight="true" outlineLevel="0" collapsed="false">
      <c r="A19" s="119" t="n">
        <v>14</v>
      </c>
      <c r="B19" s="119" t="s">
        <v>822</v>
      </c>
      <c r="C19" s="119" t="s">
        <v>50</v>
      </c>
      <c r="D19" s="119" t="s">
        <v>850</v>
      </c>
      <c r="E19" s="119" t="s">
        <v>851</v>
      </c>
      <c r="F19" s="119" t="s">
        <v>461</v>
      </c>
      <c r="G19" s="119" t="s">
        <v>852</v>
      </c>
      <c r="H19" s="119" t="s">
        <v>827</v>
      </c>
      <c r="I19" s="119" t="s">
        <v>668</v>
      </c>
      <c r="J19" s="119" t="s">
        <v>828</v>
      </c>
    </row>
    <row r="20" customFormat="false" ht="27.75" hidden="false" customHeight="true" outlineLevel="0" collapsed="false">
      <c r="A20" s="119" t="n">
        <v>15</v>
      </c>
      <c r="B20" s="119" t="s">
        <v>822</v>
      </c>
      <c r="C20" s="119" t="s">
        <v>50</v>
      </c>
      <c r="D20" s="119" t="s">
        <v>853</v>
      </c>
      <c r="E20" s="119" t="s">
        <v>854</v>
      </c>
      <c r="F20" s="119" t="s">
        <v>463</v>
      </c>
      <c r="G20" s="119" t="s">
        <v>852</v>
      </c>
      <c r="H20" s="119" t="s">
        <v>827</v>
      </c>
      <c r="I20" s="119" t="s">
        <v>668</v>
      </c>
      <c r="J20" s="119" t="s">
        <v>828</v>
      </c>
    </row>
    <row r="21" customFormat="false" ht="27.75" hidden="false" customHeight="true" outlineLevel="0" collapsed="false">
      <c r="A21" s="119" t="n">
        <v>16</v>
      </c>
      <c r="B21" s="119" t="s">
        <v>822</v>
      </c>
      <c r="C21" s="119" t="s">
        <v>50</v>
      </c>
      <c r="D21" s="119" t="s">
        <v>855</v>
      </c>
      <c r="E21" s="119" t="s">
        <v>856</v>
      </c>
      <c r="F21" s="119" t="s">
        <v>465</v>
      </c>
      <c r="G21" s="119" t="s">
        <v>852</v>
      </c>
      <c r="H21" s="119" t="s">
        <v>827</v>
      </c>
      <c r="I21" s="119" t="s">
        <v>668</v>
      </c>
      <c r="J21" s="119" t="s">
        <v>828</v>
      </c>
    </row>
    <row r="22" customFormat="false" ht="27.75" hidden="false" customHeight="true" outlineLevel="0" collapsed="false">
      <c r="A22" s="119" t="n">
        <v>17</v>
      </c>
      <c r="B22" s="119" t="s">
        <v>822</v>
      </c>
      <c r="C22" s="119" t="s">
        <v>50</v>
      </c>
      <c r="D22" s="119" t="s">
        <v>857</v>
      </c>
      <c r="E22" s="119" t="s">
        <v>858</v>
      </c>
      <c r="F22" s="119" t="s">
        <v>467</v>
      </c>
      <c r="G22" s="119" t="s">
        <v>852</v>
      </c>
      <c r="H22" s="119" t="s">
        <v>827</v>
      </c>
      <c r="I22" s="119" t="s">
        <v>668</v>
      </c>
      <c r="J22" s="119" t="s">
        <v>828</v>
      </c>
    </row>
    <row r="23" customFormat="false" ht="27.75" hidden="false" customHeight="true" outlineLevel="0" collapsed="false">
      <c r="A23" s="119" t="n">
        <v>18</v>
      </c>
      <c r="B23" s="119" t="s">
        <v>822</v>
      </c>
      <c r="C23" s="119" t="s">
        <v>50</v>
      </c>
      <c r="D23" s="119" t="s">
        <v>859</v>
      </c>
      <c r="E23" s="119" t="s">
        <v>860</v>
      </c>
      <c r="F23" s="119" t="s">
        <v>469</v>
      </c>
      <c r="G23" s="119" t="s">
        <v>852</v>
      </c>
      <c r="H23" s="119" t="s">
        <v>827</v>
      </c>
      <c r="I23" s="119" t="s">
        <v>668</v>
      </c>
      <c r="J23" s="119" t="s">
        <v>828</v>
      </c>
    </row>
    <row r="24" customFormat="false" ht="27.75" hidden="false" customHeight="true" outlineLevel="0" collapsed="false">
      <c r="A24" s="119" t="n">
        <v>19</v>
      </c>
      <c r="B24" s="119" t="s">
        <v>822</v>
      </c>
      <c r="C24" s="119" t="s">
        <v>50</v>
      </c>
      <c r="D24" s="119" t="s">
        <v>861</v>
      </c>
      <c r="E24" s="119" t="s">
        <v>862</v>
      </c>
      <c r="F24" s="119" t="s">
        <v>473</v>
      </c>
      <c r="G24" s="119" t="s">
        <v>852</v>
      </c>
      <c r="H24" s="119" t="s">
        <v>827</v>
      </c>
      <c r="I24" s="119" t="s">
        <v>668</v>
      </c>
      <c r="J24" s="119" t="s">
        <v>828</v>
      </c>
    </row>
    <row r="25" customFormat="false" ht="66.75" hidden="false" customHeight="true" outlineLevel="0" collapsed="false">
      <c r="A25" s="119" t="n">
        <v>20</v>
      </c>
      <c r="B25" s="119" t="s">
        <v>822</v>
      </c>
      <c r="C25" s="119" t="s">
        <v>50</v>
      </c>
      <c r="D25" s="119" t="s">
        <v>863</v>
      </c>
      <c r="E25" s="119" t="s">
        <v>864</v>
      </c>
      <c r="F25" s="119" t="s">
        <v>476</v>
      </c>
      <c r="G25" s="119" t="s">
        <v>852</v>
      </c>
      <c r="H25" s="119" t="s">
        <v>827</v>
      </c>
      <c r="I25" s="119" t="s">
        <v>668</v>
      </c>
      <c r="J25" s="119" t="s">
        <v>828</v>
      </c>
    </row>
    <row r="26" customFormat="false" ht="27.75" hidden="false" customHeight="true" outlineLevel="0" collapsed="false">
      <c r="A26" s="119" t="n">
        <v>21</v>
      </c>
      <c r="B26" s="119" t="s">
        <v>822</v>
      </c>
      <c r="C26" s="119" t="s">
        <v>34</v>
      </c>
      <c r="D26" s="119" t="s">
        <v>865</v>
      </c>
      <c r="E26" s="119" t="s">
        <v>836</v>
      </c>
      <c r="F26" s="119" t="s">
        <v>206</v>
      </c>
      <c r="G26" s="119" t="s">
        <v>866</v>
      </c>
      <c r="H26" s="119" t="s">
        <v>827</v>
      </c>
      <c r="I26" s="119" t="s">
        <v>668</v>
      </c>
      <c r="J26" s="119" t="s">
        <v>838</v>
      </c>
    </row>
    <row r="27" customFormat="false" ht="15" hidden="false" customHeight="true" outlineLevel="0" collapsed="false">
      <c r="A27" s="119" t="n">
        <v>22</v>
      </c>
      <c r="B27" s="119" t="s">
        <v>822</v>
      </c>
      <c r="C27" s="119" t="s">
        <v>34</v>
      </c>
      <c r="D27" s="119" t="s">
        <v>867</v>
      </c>
      <c r="E27" s="119" t="s">
        <v>836</v>
      </c>
      <c r="F27" s="119" t="s">
        <v>207</v>
      </c>
      <c r="G27" s="119" t="s">
        <v>868</v>
      </c>
      <c r="H27" s="119" t="s">
        <v>827</v>
      </c>
      <c r="I27" s="119" t="s">
        <v>668</v>
      </c>
      <c r="J27" s="119" t="s">
        <v>838</v>
      </c>
    </row>
    <row r="28" customFormat="false" ht="15" hidden="false" customHeight="true" outlineLevel="0" collapsed="false">
      <c r="A28" s="119" t="n">
        <v>23</v>
      </c>
      <c r="B28" s="119" t="s">
        <v>822</v>
      </c>
      <c r="C28" s="119" t="s">
        <v>34</v>
      </c>
      <c r="D28" s="119" t="s">
        <v>869</v>
      </c>
      <c r="E28" s="119" t="s">
        <v>836</v>
      </c>
      <c r="F28" s="119" t="s">
        <v>208</v>
      </c>
      <c r="G28" s="119" t="s">
        <v>868</v>
      </c>
      <c r="H28" s="119" t="s">
        <v>827</v>
      </c>
      <c r="I28" s="119" t="s">
        <v>668</v>
      </c>
      <c r="J28" s="119" t="s">
        <v>838</v>
      </c>
    </row>
    <row r="29" customFormat="false" ht="15" hidden="false" customHeight="true" outlineLevel="0" collapsed="false">
      <c r="A29" s="119" t="n">
        <v>24</v>
      </c>
      <c r="B29" s="119" t="s">
        <v>822</v>
      </c>
      <c r="C29" s="119" t="s">
        <v>34</v>
      </c>
      <c r="D29" s="119" t="s">
        <v>870</v>
      </c>
      <c r="E29" s="119" t="s">
        <v>836</v>
      </c>
      <c r="F29" s="119" t="s">
        <v>73</v>
      </c>
      <c r="G29" s="119" t="s">
        <v>868</v>
      </c>
      <c r="H29" s="119" t="s">
        <v>827</v>
      </c>
      <c r="I29" s="119" t="s">
        <v>668</v>
      </c>
      <c r="J29" s="119" t="s">
        <v>838</v>
      </c>
    </row>
    <row r="30" customFormat="false" ht="15" hidden="false" customHeight="true" outlineLevel="0" collapsed="false">
      <c r="A30" s="119" t="n">
        <v>25</v>
      </c>
      <c r="B30" s="119" t="s">
        <v>822</v>
      </c>
      <c r="C30" s="119" t="s">
        <v>34</v>
      </c>
      <c r="D30" s="119" t="s">
        <v>871</v>
      </c>
      <c r="E30" s="119" t="s">
        <v>836</v>
      </c>
      <c r="F30" s="119" t="s">
        <v>209</v>
      </c>
      <c r="G30" s="119" t="s">
        <v>868</v>
      </c>
      <c r="H30" s="119" t="s">
        <v>827</v>
      </c>
      <c r="I30" s="119" t="s">
        <v>668</v>
      </c>
      <c r="J30" s="119" t="s">
        <v>838</v>
      </c>
    </row>
    <row r="31" customFormat="false" ht="15" hidden="false" customHeight="true" outlineLevel="0" collapsed="false">
      <c r="A31" s="119" t="n">
        <v>26</v>
      </c>
      <c r="B31" s="119" t="s">
        <v>822</v>
      </c>
      <c r="C31" s="119" t="s">
        <v>34</v>
      </c>
      <c r="D31" s="119" t="s">
        <v>872</v>
      </c>
      <c r="E31" s="119" t="s">
        <v>836</v>
      </c>
      <c r="F31" s="119" t="s">
        <v>210</v>
      </c>
      <c r="G31" s="119" t="s">
        <v>868</v>
      </c>
      <c r="H31" s="119" t="s">
        <v>827</v>
      </c>
      <c r="I31" s="119" t="s">
        <v>668</v>
      </c>
      <c r="J31" s="119" t="s">
        <v>838</v>
      </c>
    </row>
    <row r="32" customFormat="false" ht="40.5" hidden="false" customHeight="true" outlineLevel="0" collapsed="false">
      <c r="A32" s="119" t="n">
        <v>27</v>
      </c>
      <c r="B32" s="119" t="s">
        <v>822</v>
      </c>
      <c r="C32" s="119" t="s">
        <v>34</v>
      </c>
      <c r="D32" s="119" t="s">
        <v>873</v>
      </c>
      <c r="E32" s="119" t="s">
        <v>836</v>
      </c>
      <c r="F32" s="119" t="s">
        <v>211</v>
      </c>
      <c r="G32" s="119" t="s">
        <v>874</v>
      </c>
      <c r="H32" s="119" t="s">
        <v>213</v>
      </c>
      <c r="I32" s="119" t="s">
        <v>668</v>
      </c>
      <c r="J32" s="119" t="s">
        <v>838</v>
      </c>
    </row>
    <row r="33" customFormat="false" ht="40.5" hidden="false" customHeight="true" outlineLevel="0" collapsed="false">
      <c r="A33" s="119" t="n">
        <v>28</v>
      </c>
      <c r="B33" s="119" t="s">
        <v>822</v>
      </c>
      <c r="C33" s="119" t="s">
        <v>34</v>
      </c>
      <c r="D33" s="119" t="s">
        <v>875</v>
      </c>
      <c r="E33" s="119" t="s">
        <v>836</v>
      </c>
      <c r="F33" s="119" t="n">
        <v>0</v>
      </c>
      <c r="G33" s="119" t="s">
        <v>874</v>
      </c>
      <c r="H33" s="119" t="s">
        <v>213</v>
      </c>
      <c r="I33" s="119" t="s">
        <v>876</v>
      </c>
      <c r="J33" s="119" t="s">
        <v>838</v>
      </c>
    </row>
    <row r="34" customFormat="false" ht="40.5" hidden="false" customHeight="true" outlineLevel="0" collapsed="false">
      <c r="A34" s="119" t="n">
        <v>29</v>
      </c>
      <c r="B34" s="119" t="s">
        <v>822</v>
      </c>
      <c r="C34" s="119" t="s">
        <v>34</v>
      </c>
      <c r="D34" s="119" t="s">
        <v>877</v>
      </c>
      <c r="E34" s="119" t="s">
        <v>836</v>
      </c>
      <c r="F34" s="119" t="s">
        <v>212</v>
      </c>
      <c r="G34" s="119" t="s">
        <v>874</v>
      </c>
      <c r="H34" s="119" t="s">
        <v>213</v>
      </c>
      <c r="I34" s="119" t="s">
        <v>668</v>
      </c>
      <c r="J34" s="119" t="s">
        <v>838</v>
      </c>
    </row>
    <row r="35" customFormat="false" ht="40.5" hidden="false" customHeight="true" outlineLevel="0" collapsed="false">
      <c r="A35" s="119" t="n">
        <v>30</v>
      </c>
      <c r="B35" s="119" t="s">
        <v>822</v>
      </c>
      <c r="C35" s="119" t="s">
        <v>34</v>
      </c>
      <c r="D35" s="119" t="s">
        <v>878</v>
      </c>
      <c r="E35" s="119" t="s">
        <v>836</v>
      </c>
      <c r="F35" s="119" t="s">
        <v>213</v>
      </c>
      <c r="G35" s="119" t="s">
        <v>874</v>
      </c>
      <c r="H35" s="119" t="s">
        <v>213</v>
      </c>
      <c r="I35" s="119" t="s">
        <v>668</v>
      </c>
      <c r="J35" s="119" t="s">
        <v>838</v>
      </c>
    </row>
    <row r="36" customFormat="false" ht="40.5" hidden="false" customHeight="true" outlineLevel="0" collapsed="false">
      <c r="A36" s="119" t="n">
        <v>31</v>
      </c>
      <c r="B36" s="119" t="s">
        <v>822</v>
      </c>
      <c r="C36" s="119" t="s">
        <v>34</v>
      </c>
      <c r="D36" s="119" t="s">
        <v>879</v>
      </c>
      <c r="E36" s="119" t="s">
        <v>836</v>
      </c>
      <c r="F36" s="119" t="s">
        <v>214</v>
      </c>
      <c r="G36" s="119" t="s">
        <v>874</v>
      </c>
      <c r="H36" s="119" t="s">
        <v>213</v>
      </c>
      <c r="I36" s="119" t="s">
        <v>668</v>
      </c>
      <c r="J36" s="119" t="s">
        <v>838</v>
      </c>
    </row>
    <row r="37" customFormat="false" ht="27.75" hidden="false" customHeight="true" outlineLevel="0" collapsed="false">
      <c r="A37" s="119" t="n">
        <v>32</v>
      </c>
      <c r="B37" s="119" t="s">
        <v>822</v>
      </c>
      <c r="C37" s="119" t="s">
        <v>34</v>
      </c>
      <c r="D37" s="119" t="s">
        <v>880</v>
      </c>
      <c r="E37" s="119" t="s">
        <v>836</v>
      </c>
      <c r="F37" s="119" t="s">
        <v>215</v>
      </c>
      <c r="G37" s="119" t="s">
        <v>881</v>
      </c>
      <c r="H37" s="119" t="s">
        <v>213</v>
      </c>
      <c r="I37" s="119" t="s">
        <v>668</v>
      </c>
      <c r="J37" s="119" t="s">
        <v>838</v>
      </c>
    </row>
    <row r="38" customFormat="false" ht="27.75" hidden="false" customHeight="true" outlineLevel="0" collapsed="false">
      <c r="A38" s="119" t="n">
        <v>33</v>
      </c>
      <c r="B38" s="119" t="s">
        <v>822</v>
      </c>
      <c r="C38" s="119" t="s">
        <v>34</v>
      </c>
      <c r="D38" s="119" t="s">
        <v>882</v>
      </c>
      <c r="E38" s="119" t="s">
        <v>836</v>
      </c>
      <c r="F38" s="119" t="n">
        <v>90000</v>
      </c>
      <c r="G38" s="119" t="s">
        <v>881</v>
      </c>
      <c r="H38" s="119" t="s">
        <v>213</v>
      </c>
      <c r="I38" s="119" t="s">
        <v>876</v>
      </c>
      <c r="J38" s="119" t="s">
        <v>838</v>
      </c>
    </row>
    <row r="39" customFormat="false" ht="27.75" hidden="false" customHeight="true" outlineLevel="0" collapsed="false">
      <c r="A39" s="119" t="n">
        <v>34</v>
      </c>
      <c r="B39" s="119" t="s">
        <v>822</v>
      </c>
      <c r="C39" s="119" t="s">
        <v>34</v>
      </c>
      <c r="D39" s="119" t="s">
        <v>883</v>
      </c>
      <c r="E39" s="119" t="s">
        <v>836</v>
      </c>
      <c r="F39" s="119" t="s">
        <v>216</v>
      </c>
      <c r="G39" s="119" t="s">
        <v>881</v>
      </c>
      <c r="H39" s="119" t="s">
        <v>213</v>
      </c>
      <c r="I39" s="119" t="s">
        <v>668</v>
      </c>
      <c r="J39" s="119" t="s">
        <v>838</v>
      </c>
    </row>
    <row r="40" customFormat="false" ht="27.75" hidden="false" customHeight="true" outlineLevel="0" collapsed="false">
      <c r="A40" s="119" t="n">
        <v>35</v>
      </c>
      <c r="B40" s="119" t="s">
        <v>822</v>
      </c>
      <c r="C40" s="119" t="s">
        <v>34</v>
      </c>
      <c r="D40" s="119" t="s">
        <v>884</v>
      </c>
      <c r="E40" s="119" t="s">
        <v>836</v>
      </c>
      <c r="F40" s="119" t="s">
        <v>213</v>
      </c>
      <c r="G40" s="119" t="s">
        <v>881</v>
      </c>
      <c r="H40" s="119" t="s">
        <v>213</v>
      </c>
      <c r="I40" s="119" t="s">
        <v>668</v>
      </c>
      <c r="J40" s="119" t="s">
        <v>838</v>
      </c>
    </row>
    <row r="41" customFormat="false" ht="40.5" hidden="false" customHeight="true" outlineLevel="0" collapsed="false">
      <c r="A41" s="119" t="n">
        <v>36</v>
      </c>
      <c r="B41" s="119" t="s">
        <v>822</v>
      </c>
      <c r="C41" s="119" t="s">
        <v>34</v>
      </c>
      <c r="D41" s="119" t="s">
        <v>885</v>
      </c>
      <c r="E41" s="119" t="s">
        <v>836</v>
      </c>
      <c r="F41" s="119" t="s">
        <v>217</v>
      </c>
      <c r="G41" s="119" t="s">
        <v>881</v>
      </c>
      <c r="H41" s="119" t="s">
        <v>213</v>
      </c>
      <c r="I41" s="119" t="s">
        <v>668</v>
      </c>
      <c r="J41" s="119" t="s">
        <v>838</v>
      </c>
    </row>
    <row r="42" customFormat="false" ht="15" hidden="false" customHeight="true" outlineLevel="0" collapsed="false">
      <c r="A42" s="119" t="n">
        <v>37</v>
      </c>
      <c r="B42" s="119" t="s">
        <v>822</v>
      </c>
      <c r="C42" s="119" t="s">
        <v>34</v>
      </c>
      <c r="D42" s="119" t="s">
        <v>886</v>
      </c>
      <c r="E42" s="119" t="s">
        <v>836</v>
      </c>
      <c r="F42" s="119" t="s">
        <v>218</v>
      </c>
      <c r="G42" s="119" t="s">
        <v>887</v>
      </c>
      <c r="H42" s="119" t="s">
        <v>213</v>
      </c>
      <c r="I42" s="119" t="s">
        <v>668</v>
      </c>
      <c r="J42" s="119" t="s">
        <v>838</v>
      </c>
    </row>
    <row r="43" customFormat="false" ht="15" hidden="false" customHeight="true" outlineLevel="0" collapsed="false">
      <c r="A43" s="119" t="n">
        <v>38</v>
      </c>
      <c r="B43" s="119" t="s">
        <v>822</v>
      </c>
      <c r="C43" s="119" t="s">
        <v>34</v>
      </c>
      <c r="D43" s="119" t="s">
        <v>888</v>
      </c>
      <c r="E43" s="119" t="s">
        <v>836</v>
      </c>
      <c r="F43" s="119" t="n">
        <v>0</v>
      </c>
      <c r="G43" s="119" t="s">
        <v>887</v>
      </c>
      <c r="H43" s="119" t="s">
        <v>213</v>
      </c>
      <c r="I43" s="119" t="s">
        <v>876</v>
      </c>
      <c r="J43" s="119" t="s">
        <v>838</v>
      </c>
    </row>
    <row r="44" customFormat="false" ht="15" hidden="false" customHeight="true" outlineLevel="0" collapsed="false">
      <c r="A44" s="119" t="n">
        <v>39</v>
      </c>
      <c r="B44" s="119" t="s">
        <v>822</v>
      </c>
      <c r="C44" s="119" t="s">
        <v>34</v>
      </c>
      <c r="D44" s="119" t="s">
        <v>889</v>
      </c>
      <c r="E44" s="119" t="s">
        <v>836</v>
      </c>
      <c r="F44" s="119" t="s">
        <v>219</v>
      </c>
      <c r="G44" s="119" t="s">
        <v>887</v>
      </c>
      <c r="H44" s="119" t="s">
        <v>213</v>
      </c>
      <c r="I44" s="119" t="s">
        <v>668</v>
      </c>
      <c r="J44" s="119" t="s">
        <v>838</v>
      </c>
    </row>
    <row r="45" customFormat="false" ht="15" hidden="false" customHeight="true" outlineLevel="0" collapsed="false">
      <c r="A45" s="119" t="n">
        <v>40</v>
      </c>
      <c r="B45" s="119" t="s">
        <v>822</v>
      </c>
      <c r="C45" s="119" t="s">
        <v>34</v>
      </c>
      <c r="D45" s="119" t="s">
        <v>890</v>
      </c>
      <c r="E45" s="119" t="s">
        <v>836</v>
      </c>
      <c r="F45" s="119" t="s">
        <v>213</v>
      </c>
      <c r="G45" s="119" t="s">
        <v>887</v>
      </c>
      <c r="H45" s="119" t="s">
        <v>213</v>
      </c>
      <c r="I45" s="119" t="s">
        <v>668</v>
      </c>
      <c r="J45" s="119" t="s">
        <v>838</v>
      </c>
    </row>
    <row r="46" customFormat="false" ht="15" hidden="false" customHeight="true" outlineLevel="0" collapsed="false">
      <c r="A46" s="119" t="n">
        <v>41</v>
      </c>
      <c r="B46" s="119" t="s">
        <v>822</v>
      </c>
      <c r="C46" s="119" t="s">
        <v>34</v>
      </c>
      <c r="D46" s="119" t="s">
        <v>891</v>
      </c>
      <c r="E46" s="119" t="s">
        <v>836</v>
      </c>
      <c r="F46" s="119" t="s">
        <v>220</v>
      </c>
      <c r="G46" s="119" t="s">
        <v>887</v>
      </c>
      <c r="H46" s="119" t="s">
        <v>213</v>
      </c>
      <c r="I46" s="119" t="s">
        <v>668</v>
      </c>
      <c r="J46" s="119" t="s">
        <v>838</v>
      </c>
    </row>
    <row r="47" customFormat="false" ht="15" hidden="false" customHeight="true" outlineLevel="0" collapsed="false">
      <c r="A47" s="119" t="n">
        <v>42</v>
      </c>
      <c r="B47" s="119" t="s">
        <v>822</v>
      </c>
      <c r="C47" s="119" t="s">
        <v>34</v>
      </c>
      <c r="D47" s="119" t="s">
        <v>892</v>
      </c>
      <c r="E47" s="119" t="s">
        <v>836</v>
      </c>
      <c r="F47" s="119" t="s">
        <v>221</v>
      </c>
      <c r="G47" s="119" t="s">
        <v>887</v>
      </c>
      <c r="H47" s="119" t="s">
        <v>213</v>
      </c>
      <c r="I47" s="119" t="s">
        <v>668</v>
      </c>
      <c r="J47" s="119" t="s">
        <v>838</v>
      </c>
    </row>
    <row r="48" customFormat="false" ht="15" hidden="false" customHeight="true" outlineLevel="0" collapsed="false">
      <c r="A48" s="119" t="n">
        <v>43</v>
      </c>
      <c r="B48" s="119" t="s">
        <v>822</v>
      </c>
      <c r="C48" s="119" t="s">
        <v>34</v>
      </c>
      <c r="D48" s="119" t="s">
        <v>893</v>
      </c>
      <c r="E48" s="119" t="s">
        <v>836</v>
      </c>
      <c r="F48" s="119" t="n">
        <v>0.05</v>
      </c>
      <c r="G48" s="119" t="s">
        <v>887</v>
      </c>
      <c r="H48" s="119" t="s">
        <v>213</v>
      </c>
      <c r="I48" s="119" t="s">
        <v>876</v>
      </c>
      <c r="J48" s="119" t="s">
        <v>838</v>
      </c>
    </row>
    <row r="49" customFormat="false" ht="15" hidden="false" customHeight="true" outlineLevel="0" collapsed="false">
      <c r="A49" s="119" t="n">
        <v>44</v>
      </c>
      <c r="B49" s="119" t="s">
        <v>822</v>
      </c>
      <c r="C49" s="119" t="s">
        <v>34</v>
      </c>
      <c r="D49" s="119" t="s">
        <v>894</v>
      </c>
      <c r="E49" s="119" t="s">
        <v>836</v>
      </c>
      <c r="F49" s="119" t="s">
        <v>219</v>
      </c>
      <c r="G49" s="119" t="s">
        <v>887</v>
      </c>
      <c r="H49" s="119" t="s">
        <v>213</v>
      </c>
      <c r="I49" s="119" t="s">
        <v>668</v>
      </c>
      <c r="J49" s="119" t="s">
        <v>838</v>
      </c>
    </row>
    <row r="50" customFormat="false" ht="15" hidden="false" customHeight="true" outlineLevel="0" collapsed="false">
      <c r="A50" s="119" t="n">
        <v>45</v>
      </c>
      <c r="B50" s="119" t="s">
        <v>822</v>
      </c>
      <c r="C50" s="119" t="s">
        <v>34</v>
      </c>
      <c r="D50" s="119" t="s">
        <v>895</v>
      </c>
      <c r="E50" s="119" t="s">
        <v>836</v>
      </c>
      <c r="F50" s="119" t="s">
        <v>213</v>
      </c>
      <c r="G50" s="119" t="s">
        <v>887</v>
      </c>
      <c r="H50" s="119" t="s">
        <v>213</v>
      </c>
      <c r="I50" s="119" t="s">
        <v>668</v>
      </c>
      <c r="J50" s="119" t="s">
        <v>838</v>
      </c>
    </row>
    <row r="51" customFormat="false" ht="27.75" hidden="false" customHeight="true" outlineLevel="0" collapsed="false">
      <c r="A51" s="119" t="n">
        <v>46</v>
      </c>
      <c r="B51" s="119" t="s">
        <v>822</v>
      </c>
      <c r="C51" s="119" t="s">
        <v>34</v>
      </c>
      <c r="D51" s="119" t="s">
        <v>896</v>
      </c>
      <c r="E51" s="119" t="s">
        <v>836</v>
      </c>
      <c r="F51" s="119" t="s">
        <v>222</v>
      </c>
      <c r="G51" s="119" t="s">
        <v>887</v>
      </c>
      <c r="H51" s="119" t="s">
        <v>213</v>
      </c>
      <c r="I51" s="119" t="s">
        <v>668</v>
      </c>
      <c r="J51" s="119" t="s">
        <v>838</v>
      </c>
    </row>
    <row r="52" customFormat="false" ht="15" hidden="false" customHeight="true" outlineLevel="0" collapsed="false">
      <c r="A52" s="119" t="n">
        <v>47</v>
      </c>
      <c r="B52" s="119" t="s">
        <v>822</v>
      </c>
      <c r="C52" s="119" t="s">
        <v>34</v>
      </c>
      <c r="D52" s="119" t="s">
        <v>897</v>
      </c>
      <c r="E52" s="119" t="s">
        <v>836</v>
      </c>
      <c r="F52" s="119" t="s">
        <v>223</v>
      </c>
      <c r="G52" s="119" t="s">
        <v>887</v>
      </c>
      <c r="H52" s="119" t="s">
        <v>213</v>
      </c>
      <c r="I52" s="119" t="s">
        <v>668</v>
      </c>
      <c r="J52" s="119" t="s">
        <v>838</v>
      </c>
    </row>
    <row r="53" customFormat="false" ht="15" hidden="false" customHeight="true" outlineLevel="0" collapsed="false">
      <c r="A53" s="119" t="n">
        <v>48</v>
      </c>
      <c r="B53" s="119" t="s">
        <v>822</v>
      </c>
      <c r="C53" s="119" t="s">
        <v>34</v>
      </c>
      <c r="D53" s="119" t="s">
        <v>898</v>
      </c>
      <c r="E53" s="119" t="s">
        <v>836</v>
      </c>
      <c r="F53" s="119" t="n">
        <v>0.1</v>
      </c>
      <c r="G53" s="119" t="s">
        <v>887</v>
      </c>
      <c r="H53" s="119" t="s">
        <v>213</v>
      </c>
      <c r="I53" s="119" t="s">
        <v>876</v>
      </c>
      <c r="J53" s="119" t="s">
        <v>838</v>
      </c>
    </row>
    <row r="54" customFormat="false" ht="15" hidden="false" customHeight="true" outlineLevel="0" collapsed="false">
      <c r="A54" s="119" t="n">
        <v>49</v>
      </c>
      <c r="B54" s="119" t="s">
        <v>822</v>
      </c>
      <c r="C54" s="119" t="s">
        <v>34</v>
      </c>
      <c r="D54" s="119" t="s">
        <v>899</v>
      </c>
      <c r="E54" s="119" t="s">
        <v>836</v>
      </c>
      <c r="F54" s="119" t="s">
        <v>219</v>
      </c>
      <c r="G54" s="119" t="s">
        <v>887</v>
      </c>
      <c r="H54" s="119" t="s">
        <v>213</v>
      </c>
      <c r="I54" s="119" t="s">
        <v>668</v>
      </c>
      <c r="J54" s="119" t="s">
        <v>838</v>
      </c>
    </row>
    <row r="55" customFormat="false" ht="15" hidden="false" customHeight="true" outlineLevel="0" collapsed="false">
      <c r="A55" s="119" t="n">
        <v>50</v>
      </c>
      <c r="B55" s="119" t="s">
        <v>822</v>
      </c>
      <c r="C55" s="119" t="s">
        <v>34</v>
      </c>
      <c r="D55" s="119" t="s">
        <v>900</v>
      </c>
      <c r="E55" s="119" t="s">
        <v>836</v>
      </c>
      <c r="F55" s="119" t="s">
        <v>213</v>
      </c>
      <c r="G55" s="119" t="s">
        <v>887</v>
      </c>
      <c r="H55" s="119" t="s">
        <v>213</v>
      </c>
      <c r="I55" s="119" t="s">
        <v>668</v>
      </c>
      <c r="J55" s="119" t="s">
        <v>838</v>
      </c>
    </row>
    <row r="56" customFormat="false" ht="15" hidden="false" customHeight="true" outlineLevel="0" collapsed="false">
      <c r="A56" s="119" t="n">
        <v>51</v>
      </c>
      <c r="B56" s="119" t="s">
        <v>822</v>
      </c>
      <c r="C56" s="119" t="s">
        <v>34</v>
      </c>
      <c r="D56" s="119" t="s">
        <v>901</v>
      </c>
      <c r="E56" s="119" t="s">
        <v>836</v>
      </c>
      <c r="F56" s="119"/>
      <c r="G56" s="119" t="s">
        <v>887</v>
      </c>
      <c r="H56" s="119" t="s">
        <v>213</v>
      </c>
      <c r="I56" s="119" t="s">
        <v>668</v>
      </c>
      <c r="J56" s="119" t="s">
        <v>838</v>
      </c>
    </row>
    <row r="57" customFormat="false" ht="15" hidden="false" customHeight="true" outlineLevel="0" collapsed="false">
      <c r="A57" s="119" t="n">
        <v>52</v>
      </c>
      <c r="B57" s="119" t="s">
        <v>822</v>
      </c>
      <c r="C57" s="119" t="s">
        <v>34</v>
      </c>
      <c r="D57" s="119" t="s">
        <v>902</v>
      </c>
      <c r="E57" s="119" t="s">
        <v>836</v>
      </c>
      <c r="F57" s="119" t="s">
        <v>224</v>
      </c>
      <c r="G57" s="119" t="s">
        <v>887</v>
      </c>
      <c r="H57" s="119" t="s">
        <v>213</v>
      </c>
      <c r="I57" s="119" t="s">
        <v>668</v>
      </c>
      <c r="J57" s="119" t="s">
        <v>838</v>
      </c>
    </row>
    <row r="58" customFormat="false" ht="15" hidden="false" customHeight="true" outlineLevel="0" collapsed="false">
      <c r="A58" s="119" t="n">
        <v>53</v>
      </c>
      <c r="B58" s="119" t="s">
        <v>822</v>
      </c>
      <c r="C58" s="119" t="s">
        <v>34</v>
      </c>
      <c r="D58" s="119" t="s">
        <v>903</v>
      </c>
      <c r="E58" s="119" t="s">
        <v>836</v>
      </c>
      <c r="F58" s="119" t="n">
        <v>0.15</v>
      </c>
      <c r="G58" s="119" t="s">
        <v>887</v>
      </c>
      <c r="H58" s="119" t="s">
        <v>213</v>
      </c>
      <c r="I58" s="119" t="s">
        <v>876</v>
      </c>
      <c r="J58" s="119" t="s">
        <v>838</v>
      </c>
    </row>
    <row r="59" customFormat="false" ht="15" hidden="false" customHeight="true" outlineLevel="0" collapsed="false">
      <c r="A59" s="119" t="n">
        <v>54</v>
      </c>
      <c r="B59" s="119" t="s">
        <v>822</v>
      </c>
      <c r="C59" s="119" t="s">
        <v>34</v>
      </c>
      <c r="D59" s="119" t="s">
        <v>904</v>
      </c>
      <c r="E59" s="119" t="s">
        <v>836</v>
      </c>
      <c r="F59" s="119" t="s">
        <v>219</v>
      </c>
      <c r="G59" s="119" t="s">
        <v>887</v>
      </c>
      <c r="H59" s="119" t="s">
        <v>213</v>
      </c>
      <c r="I59" s="119" t="s">
        <v>668</v>
      </c>
      <c r="J59" s="119" t="s">
        <v>838</v>
      </c>
    </row>
    <row r="60" customFormat="false" ht="15" hidden="false" customHeight="true" outlineLevel="0" collapsed="false">
      <c r="A60" s="119" t="n">
        <v>55</v>
      </c>
      <c r="B60" s="119" t="s">
        <v>822</v>
      </c>
      <c r="C60" s="119" t="s">
        <v>34</v>
      </c>
      <c r="D60" s="119" t="s">
        <v>905</v>
      </c>
      <c r="E60" s="119" t="s">
        <v>836</v>
      </c>
      <c r="F60" s="119" t="s">
        <v>213</v>
      </c>
      <c r="G60" s="119" t="s">
        <v>887</v>
      </c>
      <c r="H60" s="119" t="s">
        <v>213</v>
      </c>
      <c r="I60" s="119" t="s">
        <v>668</v>
      </c>
      <c r="J60" s="119" t="s">
        <v>838</v>
      </c>
    </row>
    <row r="61" customFormat="false" ht="15" hidden="false" customHeight="true" outlineLevel="0" collapsed="false">
      <c r="A61" s="119" t="n">
        <v>56</v>
      </c>
      <c r="B61" s="119" t="s">
        <v>822</v>
      </c>
      <c r="C61" s="119" t="s">
        <v>34</v>
      </c>
      <c r="D61" s="119" t="s">
        <v>906</v>
      </c>
      <c r="E61" s="119" t="s">
        <v>836</v>
      </c>
      <c r="F61" s="119"/>
      <c r="G61" s="119" t="s">
        <v>887</v>
      </c>
      <c r="H61" s="119" t="s">
        <v>213</v>
      </c>
      <c r="I61" s="119" t="s">
        <v>668</v>
      </c>
      <c r="J61" s="119" t="s">
        <v>838</v>
      </c>
    </row>
    <row r="62" customFormat="false" ht="15" hidden="false" customHeight="true" outlineLevel="0" collapsed="false">
      <c r="A62" s="119" t="n">
        <v>57</v>
      </c>
      <c r="B62" s="119" t="s">
        <v>822</v>
      </c>
      <c r="C62" s="119" t="s">
        <v>34</v>
      </c>
      <c r="D62" s="119" t="s">
        <v>907</v>
      </c>
      <c r="E62" s="119" t="s">
        <v>836</v>
      </c>
      <c r="F62" s="119" t="s">
        <v>225</v>
      </c>
      <c r="G62" s="119" t="s">
        <v>887</v>
      </c>
      <c r="H62" s="119" t="s">
        <v>213</v>
      </c>
      <c r="I62" s="119" t="s">
        <v>668</v>
      </c>
      <c r="J62" s="119" t="s">
        <v>838</v>
      </c>
    </row>
    <row r="63" customFormat="false" ht="15" hidden="false" customHeight="true" outlineLevel="0" collapsed="false">
      <c r="A63" s="119" t="n">
        <v>58</v>
      </c>
      <c r="B63" s="119" t="s">
        <v>822</v>
      </c>
      <c r="C63" s="119" t="s">
        <v>34</v>
      </c>
      <c r="D63" s="119" t="s">
        <v>908</v>
      </c>
      <c r="E63" s="119" t="s">
        <v>836</v>
      </c>
      <c r="F63" s="119" t="n">
        <v>0.2</v>
      </c>
      <c r="G63" s="119" t="s">
        <v>887</v>
      </c>
      <c r="H63" s="119" t="s">
        <v>213</v>
      </c>
      <c r="I63" s="119" t="s">
        <v>876</v>
      </c>
      <c r="J63" s="119" t="s">
        <v>838</v>
      </c>
    </row>
    <row r="64" customFormat="false" ht="15" hidden="false" customHeight="true" outlineLevel="0" collapsed="false">
      <c r="A64" s="119" t="n">
        <v>59</v>
      </c>
      <c r="B64" s="119" t="s">
        <v>822</v>
      </c>
      <c r="C64" s="119" t="s">
        <v>34</v>
      </c>
      <c r="D64" s="119" t="s">
        <v>909</v>
      </c>
      <c r="E64" s="119" t="s">
        <v>836</v>
      </c>
      <c r="F64" s="119" t="s">
        <v>219</v>
      </c>
      <c r="G64" s="119" t="s">
        <v>887</v>
      </c>
      <c r="H64" s="119" t="s">
        <v>213</v>
      </c>
      <c r="I64" s="119" t="s">
        <v>668</v>
      </c>
      <c r="J64" s="119" t="s">
        <v>838</v>
      </c>
    </row>
    <row r="65" customFormat="false" ht="15" hidden="false" customHeight="true" outlineLevel="0" collapsed="false">
      <c r="A65" s="119" t="n">
        <v>60</v>
      </c>
      <c r="B65" s="119" t="s">
        <v>822</v>
      </c>
      <c r="C65" s="119" t="s">
        <v>34</v>
      </c>
      <c r="D65" s="119" t="s">
        <v>910</v>
      </c>
      <c r="E65" s="119" t="s">
        <v>836</v>
      </c>
      <c r="F65" s="119" t="s">
        <v>213</v>
      </c>
      <c r="G65" s="119" t="s">
        <v>887</v>
      </c>
      <c r="H65" s="119" t="s">
        <v>213</v>
      </c>
      <c r="I65" s="119" t="s">
        <v>668</v>
      </c>
      <c r="J65" s="119" t="s">
        <v>838</v>
      </c>
    </row>
    <row r="66" customFormat="false" ht="15" hidden="false" customHeight="true" outlineLevel="0" collapsed="false">
      <c r="A66" s="119" t="n">
        <v>61</v>
      </c>
      <c r="B66" s="119" t="s">
        <v>822</v>
      </c>
      <c r="C66" s="119" t="s">
        <v>34</v>
      </c>
      <c r="D66" s="119" t="s">
        <v>911</v>
      </c>
      <c r="E66" s="119" t="s">
        <v>836</v>
      </c>
      <c r="F66" s="119"/>
      <c r="G66" s="119" t="s">
        <v>887</v>
      </c>
      <c r="H66" s="119" t="s">
        <v>213</v>
      </c>
      <c r="I66" s="119" t="s">
        <v>668</v>
      </c>
      <c r="J66" s="119" t="s">
        <v>838</v>
      </c>
    </row>
    <row r="67" customFormat="false" ht="15" hidden="false" customHeight="true" outlineLevel="0" collapsed="false">
      <c r="A67" s="119" t="n">
        <v>62</v>
      </c>
      <c r="B67" s="119" t="s">
        <v>822</v>
      </c>
      <c r="C67" s="119" t="s">
        <v>34</v>
      </c>
      <c r="D67" s="119" t="s">
        <v>912</v>
      </c>
      <c r="E67" s="119" t="s">
        <v>836</v>
      </c>
      <c r="F67" s="119" t="s">
        <v>226</v>
      </c>
      <c r="G67" s="119" t="s">
        <v>913</v>
      </c>
      <c r="H67" s="119" t="s">
        <v>213</v>
      </c>
      <c r="I67" s="119" t="s">
        <v>668</v>
      </c>
      <c r="J67" s="119" t="s">
        <v>838</v>
      </c>
    </row>
    <row r="68" customFormat="false" ht="15" hidden="false" customHeight="true" outlineLevel="0" collapsed="false">
      <c r="A68" s="119" t="n">
        <v>63</v>
      </c>
      <c r="B68" s="119" t="s">
        <v>822</v>
      </c>
      <c r="C68" s="119" t="s">
        <v>34</v>
      </c>
      <c r="D68" s="119" t="s">
        <v>914</v>
      </c>
      <c r="E68" s="119" t="s">
        <v>836</v>
      </c>
      <c r="F68" s="119" t="n">
        <v>0.15</v>
      </c>
      <c r="G68" s="119" t="s">
        <v>913</v>
      </c>
      <c r="H68" s="119" t="s">
        <v>213</v>
      </c>
      <c r="I68" s="119" t="s">
        <v>876</v>
      </c>
      <c r="J68" s="119" t="s">
        <v>838</v>
      </c>
    </row>
    <row r="69" customFormat="false" ht="15" hidden="false" customHeight="true" outlineLevel="0" collapsed="false">
      <c r="A69" s="119" t="n">
        <v>64</v>
      </c>
      <c r="B69" s="119" t="s">
        <v>822</v>
      </c>
      <c r="C69" s="119" t="s">
        <v>34</v>
      </c>
      <c r="D69" s="119" t="s">
        <v>915</v>
      </c>
      <c r="E69" s="119" t="s">
        <v>836</v>
      </c>
      <c r="F69" s="119" t="s">
        <v>227</v>
      </c>
      <c r="G69" s="119" t="s">
        <v>913</v>
      </c>
      <c r="H69" s="119" t="s">
        <v>213</v>
      </c>
      <c r="I69" s="119" t="s">
        <v>668</v>
      </c>
      <c r="J69" s="119" t="s">
        <v>838</v>
      </c>
    </row>
    <row r="70" customFormat="false" ht="15" hidden="false" customHeight="true" outlineLevel="0" collapsed="false">
      <c r="A70" s="119" t="n">
        <v>65</v>
      </c>
      <c r="B70" s="119" t="s">
        <v>822</v>
      </c>
      <c r="C70" s="119" t="s">
        <v>34</v>
      </c>
      <c r="D70" s="119" t="s">
        <v>916</v>
      </c>
      <c r="E70" s="119" t="s">
        <v>836</v>
      </c>
      <c r="F70" s="119" t="s">
        <v>213</v>
      </c>
      <c r="G70" s="119" t="s">
        <v>913</v>
      </c>
      <c r="H70" s="119" t="s">
        <v>213</v>
      </c>
      <c r="I70" s="119" t="s">
        <v>668</v>
      </c>
      <c r="J70" s="119" t="s">
        <v>838</v>
      </c>
    </row>
    <row r="71" customFormat="false" ht="27.75" hidden="false" customHeight="true" outlineLevel="0" collapsed="false">
      <c r="A71" s="119" t="n">
        <v>66</v>
      </c>
      <c r="B71" s="119" t="s">
        <v>822</v>
      </c>
      <c r="C71" s="119" t="s">
        <v>34</v>
      </c>
      <c r="D71" s="119" t="s">
        <v>917</v>
      </c>
      <c r="E71" s="119" t="s">
        <v>836</v>
      </c>
      <c r="F71" s="119" t="s">
        <v>228</v>
      </c>
      <c r="G71" s="119" t="s">
        <v>913</v>
      </c>
      <c r="H71" s="119" t="s">
        <v>213</v>
      </c>
      <c r="I71" s="119" t="s">
        <v>668</v>
      </c>
      <c r="J71" s="119" t="s">
        <v>838</v>
      </c>
    </row>
    <row r="72" customFormat="false" ht="27.75" hidden="false" customHeight="true" outlineLevel="0" collapsed="false">
      <c r="A72" s="119" t="n">
        <v>67</v>
      </c>
      <c r="B72" s="119" t="s">
        <v>822</v>
      </c>
      <c r="C72" s="119" t="s">
        <v>34</v>
      </c>
      <c r="D72" s="119" t="s">
        <v>918</v>
      </c>
      <c r="E72" s="119" t="s">
        <v>836</v>
      </c>
      <c r="F72" s="119" t="s">
        <v>229</v>
      </c>
      <c r="G72" s="119" t="s">
        <v>919</v>
      </c>
      <c r="H72" s="119" t="s">
        <v>231</v>
      </c>
      <c r="I72" s="119" t="s">
        <v>668</v>
      </c>
      <c r="J72" s="119" t="s">
        <v>838</v>
      </c>
    </row>
    <row r="73" customFormat="false" ht="27.75" hidden="false" customHeight="true" outlineLevel="0" collapsed="false">
      <c r="A73" s="119" t="n">
        <v>68</v>
      </c>
      <c r="B73" s="119" t="s">
        <v>822</v>
      </c>
      <c r="C73" s="119" t="s">
        <v>34</v>
      </c>
      <c r="D73" s="119" t="s">
        <v>920</v>
      </c>
      <c r="E73" s="119" t="s">
        <v>836</v>
      </c>
      <c r="F73" s="119" t="n">
        <v>0.18</v>
      </c>
      <c r="G73" s="119" t="s">
        <v>919</v>
      </c>
      <c r="H73" s="119" t="s">
        <v>231</v>
      </c>
      <c r="I73" s="119" t="s">
        <v>921</v>
      </c>
      <c r="J73" s="119" t="s">
        <v>838</v>
      </c>
    </row>
    <row r="74" customFormat="false" ht="27.75" hidden="false" customHeight="true" outlineLevel="0" collapsed="false">
      <c r="A74" s="119" t="n">
        <v>69</v>
      </c>
      <c r="B74" s="119" t="s">
        <v>822</v>
      </c>
      <c r="C74" s="119" t="s">
        <v>34</v>
      </c>
      <c r="D74" s="119" t="s">
        <v>922</v>
      </c>
      <c r="E74" s="119" t="s">
        <v>836</v>
      </c>
      <c r="F74" s="119" t="s">
        <v>230</v>
      </c>
      <c r="G74" s="119" t="s">
        <v>919</v>
      </c>
      <c r="H74" s="119" t="s">
        <v>231</v>
      </c>
      <c r="I74" s="119" t="s">
        <v>668</v>
      </c>
      <c r="J74" s="119" t="s">
        <v>838</v>
      </c>
    </row>
    <row r="75" customFormat="false" ht="27.75" hidden="false" customHeight="true" outlineLevel="0" collapsed="false">
      <c r="A75" s="119" t="n">
        <v>70</v>
      </c>
      <c r="B75" s="119" t="s">
        <v>822</v>
      </c>
      <c r="C75" s="119" t="s">
        <v>34</v>
      </c>
      <c r="D75" s="119" t="s">
        <v>923</v>
      </c>
      <c r="E75" s="119" t="s">
        <v>836</v>
      </c>
      <c r="F75" s="119" t="s">
        <v>231</v>
      </c>
      <c r="G75" s="119" t="s">
        <v>919</v>
      </c>
      <c r="H75" s="119" t="s">
        <v>231</v>
      </c>
      <c r="I75" s="119" t="s">
        <v>668</v>
      </c>
      <c r="J75" s="119" t="s">
        <v>838</v>
      </c>
    </row>
    <row r="76" customFormat="false" ht="27.75" hidden="false" customHeight="true" outlineLevel="0" collapsed="false">
      <c r="A76" s="119" t="n">
        <v>71</v>
      </c>
      <c r="B76" s="119" t="s">
        <v>822</v>
      </c>
      <c r="C76" s="119" t="s">
        <v>34</v>
      </c>
      <c r="D76" s="119" t="s">
        <v>924</v>
      </c>
      <c r="E76" s="119" t="s">
        <v>836</v>
      </c>
      <c r="F76" s="119" t="s">
        <v>232</v>
      </c>
      <c r="G76" s="119" t="s">
        <v>919</v>
      </c>
      <c r="H76" s="119" t="s">
        <v>231</v>
      </c>
      <c r="I76" s="119" t="s">
        <v>668</v>
      </c>
      <c r="J76" s="119" t="s">
        <v>838</v>
      </c>
    </row>
    <row r="77" customFormat="false" ht="27.75" hidden="false" customHeight="true" outlineLevel="0" collapsed="false">
      <c r="A77" s="119" t="n">
        <v>72</v>
      </c>
      <c r="B77" s="119" t="s">
        <v>822</v>
      </c>
      <c r="C77" s="119" t="s">
        <v>34</v>
      </c>
      <c r="D77" s="119" t="s">
        <v>925</v>
      </c>
      <c r="E77" s="119" t="s">
        <v>836</v>
      </c>
      <c r="F77" s="119" t="s">
        <v>233</v>
      </c>
      <c r="G77" s="119" t="s">
        <v>926</v>
      </c>
      <c r="H77" s="119" t="s">
        <v>235</v>
      </c>
      <c r="I77" s="119" t="s">
        <v>668</v>
      </c>
      <c r="J77" s="119" t="s">
        <v>838</v>
      </c>
    </row>
    <row r="78" customFormat="false" ht="27.75" hidden="false" customHeight="true" outlineLevel="0" collapsed="false">
      <c r="A78" s="119" t="n">
        <v>73</v>
      </c>
      <c r="B78" s="119" t="s">
        <v>822</v>
      </c>
      <c r="C78" s="119" t="s">
        <v>34</v>
      </c>
      <c r="D78" s="119" t="s">
        <v>927</v>
      </c>
      <c r="E78" s="119" t="s">
        <v>836</v>
      </c>
      <c r="F78" s="119" t="n">
        <v>0.04</v>
      </c>
      <c r="G78" s="119" t="s">
        <v>926</v>
      </c>
      <c r="H78" s="119" t="s">
        <v>235</v>
      </c>
      <c r="I78" s="119" t="s">
        <v>921</v>
      </c>
      <c r="J78" s="119" t="s">
        <v>838</v>
      </c>
    </row>
    <row r="79" customFormat="false" ht="27.75" hidden="false" customHeight="true" outlineLevel="0" collapsed="false">
      <c r="A79" s="119" t="n">
        <v>74</v>
      </c>
      <c r="B79" s="119" t="s">
        <v>822</v>
      </c>
      <c r="C79" s="119" t="s">
        <v>34</v>
      </c>
      <c r="D79" s="119" t="s">
        <v>928</v>
      </c>
      <c r="E79" s="119" t="s">
        <v>836</v>
      </c>
      <c r="F79" s="119" t="s">
        <v>234</v>
      </c>
      <c r="G79" s="119" t="s">
        <v>926</v>
      </c>
      <c r="H79" s="119" t="s">
        <v>235</v>
      </c>
      <c r="I79" s="119" t="s">
        <v>668</v>
      </c>
      <c r="J79" s="119" t="s">
        <v>838</v>
      </c>
    </row>
    <row r="80" customFormat="false" ht="27.75" hidden="false" customHeight="true" outlineLevel="0" collapsed="false">
      <c r="A80" s="119" t="n">
        <v>75</v>
      </c>
      <c r="B80" s="119" t="s">
        <v>822</v>
      </c>
      <c r="C80" s="119" t="s">
        <v>34</v>
      </c>
      <c r="D80" s="119" t="s">
        <v>929</v>
      </c>
      <c r="E80" s="119" t="s">
        <v>836</v>
      </c>
      <c r="F80" s="119" t="s">
        <v>235</v>
      </c>
      <c r="G80" s="119" t="s">
        <v>926</v>
      </c>
      <c r="H80" s="119" t="s">
        <v>235</v>
      </c>
      <c r="I80" s="119" t="s">
        <v>668</v>
      </c>
      <c r="J80" s="119" t="s">
        <v>838</v>
      </c>
    </row>
    <row r="81" customFormat="false" ht="27.75" hidden="false" customHeight="true" outlineLevel="0" collapsed="false">
      <c r="A81" s="119" t="n">
        <v>76</v>
      </c>
      <c r="B81" s="119" t="s">
        <v>822</v>
      </c>
      <c r="C81" s="119" t="s">
        <v>34</v>
      </c>
      <c r="D81" s="119" t="s">
        <v>930</v>
      </c>
      <c r="E81" s="119" t="s">
        <v>836</v>
      </c>
      <c r="F81" s="119" t="s">
        <v>236</v>
      </c>
      <c r="G81" s="119" t="s">
        <v>926</v>
      </c>
      <c r="H81" s="119" t="s">
        <v>235</v>
      </c>
      <c r="I81" s="119" t="s">
        <v>668</v>
      </c>
      <c r="J81" s="119" t="s">
        <v>838</v>
      </c>
    </row>
    <row r="82" customFormat="false" ht="27.75" hidden="false" customHeight="true" outlineLevel="0" collapsed="false">
      <c r="A82" s="119" t="n">
        <v>77</v>
      </c>
      <c r="B82" s="119" t="s">
        <v>822</v>
      </c>
      <c r="C82" s="119" t="s">
        <v>34</v>
      </c>
      <c r="D82" s="119" t="s">
        <v>931</v>
      </c>
      <c r="E82" s="119" t="s">
        <v>836</v>
      </c>
      <c r="F82" s="119" t="s">
        <v>237</v>
      </c>
      <c r="G82" s="119" t="s">
        <v>932</v>
      </c>
      <c r="H82" s="119" t="s">
        <v>213</v>
      </c>
      <c r="I82" s="119" t="s">
        <v>668</v>
      </c>
      <c r="J82" s="119" t="s">
        <v>838</v>
      </c>
    </row>
    <row r="83" customFormat="false" ht="27.75" hidden="false" customHeight="true" outlineLevel="0" collapsed="false">
      <c r="A83" s="119" t="n">
        <v>78</v>
      </c>
      <c r="B83" s="119" t="s">
        <v>822</v>
      </c>
      <c r="C83" s="119" t="s">
        <v>34</v>
      </c>
      <c r="D83" s="119" t="s">
        <v>933</v>
      </c>
      <c r="E83" s="119" t="s">
        <v>836</v>
      </c>
      <c r="F83" s="119" t="n">
        <v>0</v>
      </c>
      <c r="G83" s="119" t="s">
        <v>932</v>
      </c>
      <c r="H83" s="119" t="s">
        <v>213</v>
      </c>
      <c r="I83" s="119" t="s">
        <v>876</v>
      </c>
      <c r="J83" s="119" t="s">
        <v>838</v>
      </c>
    </row>
    <row r="84" customFormat="false" ht="27.75" hidden="false" customHeight="true" outlineLevel="0" collapsed="false">
      <c r="A84" s="119" t="n">
        <v>79</v>
      </c>
      <c r="B84" s="119" t="s">
        <v>822</v>
      </c>
      <c r="C84" s="119" t="s">
        <v>34</v>
      </c>
      <c r="D84" s="119" t="s">
        <v>934</v>
      </c>
      <c r="E84" s="119" t="s">
        <v>836</v>
      </c>
      <c r="F84" s="119" t="s">
        <v>212</v>
      </c>
      <c r="G84" s="119" t="s">
        <v>932</v>
      </c>
      <c r="H84" s="119" t="s">
        <v>213</v>
      </c>
      <c r="I84" s="119" t="s">
        <v>668</v>
      </c>
      <c r="J84" s="119" t="s">
        <v>838</v>
      </c>
    </row>
    <row r="85" customFormat="false" ht="27.75" hidden="false" customHeight="true" outlineLevel="0" collapsed="false">
      <c r="A85" s="119" t="n">
        <v>80</v>
      </c>
      <c r="B85" s="119" t="s">
        <v>822</v>
      </c>
      <c r="C85" s="119" t="s">
        <v>34</v>
      </c>
      <c r="D85" s="119" t="s">
        <v>935</v>
      </c>
      <c r="E85" s="119" t="s">
        <v>836</v>
      </c>
      <c r="F85" s="119" t="s">
        <v>213</v>
      </c>
      <c r="G85" s="119" t="s">
        <v>932</v>
      </c>
      <c r="H85" s="119" t="s">
        <v>213</v>
      </c>
      <c r="I85" s="119" t="s">
        <v>668</v>
      </c>
      <c r="J85" s="119" t="s">
        <v>838</v>
      </c>
    </row>
    <row r="86" customFormat="false" ht="40.5" hidden="false" customHeight="true" outlineLevel="0" collapsed="false">
      <c r="A86" s="119" t="n">
        <v>81</v>
      </c>
      <c r="B86" s="119" t="s">
        <v>822</v>
      </c>
      <c r="C86" s="119" t="s">
        <v>34</v>
      </c>
      <c r="D86" s="119" t="s">
        <v>936</v>
      </c>
      <c r="E86" s="119" t="s">
        <v>836</v>
      </c>
      <c r="F86" s="119" t="s">
        <v>238</v>
      </c>
      <c r="G86" s="119" t="s">
        <v>932</v>
      </c>
      <c r="H86" s="119" t="s">
        <v>213</v>
      </c>
      <c r="I86" s="119" t="s">
        <v>668</v>
      </c>
      <c r="J86" s="119" t="s">
        <v>838</v>
      </c>
    </row>
    <row r="87" customFormat="false" ht="15" hidden="false" customHeight="true" outlineLevel="0" collapsed="false">
      <c r="A87" s="119" t="n">
        <v>82</v>
      </c>
      <c r="B87" s="119" t="s">
        <v>822</v>
      </c>
      <c r="C87" s="119" t="s">
        <v>34</v>
      </c>
      <c r="D87" s="119" t="s">
        <v>937</v>
      </c>
      <c r="E87" s="119" t="s">
        <v>836</v>
      </c>
      <c r="F87" s="119" t="s">
        <v>239</v>
      </c>
      <c r="G87" s="119" t="s">
        <v>938</v>
      </c>
      <c r="H87" s="119" t="s">
        <v>213</v>
      </c>
      <c r="I87" s="119" t="s">
        <v>668</v>
      </c>
      <c r="J87" s="119" t="s">
        <v>838</v>
      </c>
    </row>
    <row r="88" customFormat="false" ht="15" hidden="false" customHeight="true" outlineLevel="0" collapsed="false">
      <c r="A88" s="119" t="n">
        <v>83</v>
      </c>
      <c r="B88" s="119" t="s">
        <v>822</v>
      </c>
      <c r="C88" s="119" t="s">
        <v>34</v>
      </c>
      <c r="D88" s="119" t="s">
        <v>939</v>
      </c>
      <c r="E88" s="119" t="s">
        <v>836</v>
      </c>
      <c r="F88" s="119" t="n">
        <v>2</v>
      </c>
      <c r="G88" s="119" t="s">
        <v>938</v>
      </c>
      <c r="H88" s="119" t="s">
        <v>213</v>
      </c>
      <c r="I88" s="119" t="s">
        <v>876</v>
      </c>
      <c r="J88" s="119" t="s">
        <v>838</v>
      </c>
    </row>
    <row r="89" customFormat="false" ht="15" hidden="false" customHeight="true" outlineLevel="0" collapsed="false">
      <c r="A89" s="119" t="n">
        <v>84</v>
      </c>
      <c r="B89" s="119" t="s">
        <v>822</v>
      </c>
      <c r="C89" s="119" t="s">
        <v>34</v>
      </c>
      <c r="D89" s="119" t="s">
        <v>940</v>
      </c>
      <c r="E89" s="119" t="s">
        <v>836</v>
      </c>
      <c r="F89" s="119" t="s">
        <v>240</v>
      </c>
      <c r="G89" s="119" t="s">
        <v>938</v>
      </c>
      <c r="H89" s="119" t="s">
        <v>213</v>
      </c>
      <c r="I89" s="119" t="s">
        <v>668</v>
      </c>
      <c r="J89" s="119" t="s">
        <v>838</v>
      </c>
    </row>
    <row r="90" customFormat="false" ht="15" hidden="false" customHeight="true" outlineLevel="0" collapsed="false">
      <c r="A90" s="119" t="n">
        <v>85</v>
      </c>
      <c r="B90" s="119" t="s">
        <v>822</v>
      </c>
      <c r="C90" s="119" t="s">
        <v>34</v>
      </c>
      <c r="D90" s="119" t="s">
        <v>941</v>
      </c>
      <c r="E90" s="119" t="s">
        <v>836</v>
      </c>
      <c r="F90" s="119" t="s">
        <v>213</v>
      </c>
      <c r="G90" s="119" t="s">
        <v>938</v>
      </c>
      <c r="H90" s="119" t="s">
        <v>213</v>
      </c>
      <c r="I90" s="119" t="s">
        <v>668</v>
      </c>
      <c r="J90" s="119" t="s">
        <v>838</v>
      </c>
    </row>
    <row r="91" customFormat="false" ht="27.75" hidden="false" customHeight="true" outlineLevel="0" collapsed="false">
      <c r="A91" s="119" t="n">
        <v>86</v>
      </c>
      <c r="B91" s="119" t="s">
        <v>822</v>
      </c>
      <c r="C91" s="119" t="s">
        <v>34</v>
      </c>
      <c r="D91" s="119" t="s">
        <v>942</v>
      </c>
      <c r="E91" s="119" t="s">
        <v>836</v>
      </c>
      <c r="F91" s="119" t="s">
        <v>241</v>
      </c>
      <c r="G91" s="119" t="s">
        <v>938</v>
      </c>
      <c r="H91" s="119" t="s">
        <v>213</v>
      </c>
      <c r="I91" s="119" t="s">
        <v>668</v>
      </c>
      <c r="J91" s="119" t="s">
        <v>838</v>
      </c>
    </row>
    <row r="92" customFormat="false" ht="15" hidden="false" customHeight="true" outlineLevel="0" collapsed="false">
      <c r="A92" s="119" t="n">
        <v>87</v>
      </c>
      <c r="B92" s="119" t="s">
        <v>822</v>
      </c>
      <c r="C92" s="119" t="s">
        <v>34</v>
      </c>
      <c r="D92" s="119" t="s">
        <v>943</v>
      </c>
      <c r="E92" s="119" t="s">
        <v>836</v>
      </c>
      <c r="F92" s="119" t="s">
        <v>242</v>
      </c>
      <c r="G92" s="119" t="s">
        <v>938</v>
      </c>
      <c r="H92" s="119" t="s">
        <v>213</v>
      </c>
      <c r="I92" s="119" t="s">
        <v>668</v>
      </c>
      <c r="J92" s="119" t="s">
        <v>838</v>
      </c>
    </row>
    <row r="93" customFormat="false" ht="15" hidden="false" customHeight="true" outlineLevel="0" collapsed="false">
      <c r="A93" s="119" t="n">
        <v>88</v>
      </c>
      <c r="B93" s="119" t="s">
        <v>822</v>
      </c>
      <c r="C93" s="119" t="s">
        <v>34</v>
      </c>
      <c r="D93" s="119" t="s">
        <v>944</v>
      </c>
      <c r="E93" s="119" t="s">
        <v>836</v>
      </c>
      <c r="F93" s="119" t="n">
        <v>0.5</v>
      </c>
      <c r="G93" s="119" t="s">
        <v>938</v>
      </c>
      <c r="H93" s="119" t="s">
        <v>213</v>
      </c>
      <c r="I93" s="119" t="s">
        <v>876</v>
      </c>
      <c r="J93" s="119" t="s">
        <v>838</v>
      </c>
    </row>
    <row r="94" customFormat="false" ht="15" hidden="false" customHeight="true" outlineLevel="0" collapsed="false">
      <c r="A94" s="119" t="n">
        <v>89</v>
      </c>
      <c r="B94" s="119" t="s">
        <v>822</v>
      </c>
      <c r="C94" s="119" t="s">
        <v>34</v>
      </c>
      <c r="D94" s="119" t="s">
        <v>945</v>
      </c>
      <c r="E94" s="119" t="s">
        <v>836</v>
      </c>
      <c r="F94" s="119" t="s">
        <v>243</v>
      </c>
      <c r="G94" s="119" t="s">
        <v>938</v>
      </c>
      <c r="H94" s="119" t="s">
        <v>213</v>
      </c>
      <c r="I94" s="119" t="s">
        <v>668</v>
      </c>
      <c r="J94" s="119" t="s">
        <v>838</v>
      </c>
    </row>
    <row r="95" customFormat="false" ht="15" hidden="false" customHeight="true" outlineLevel="0" collapsed="false">
      <c r="A95" s="119" t="n">
        <v>90</v>
      </c>
      <c r="B95" s="119" t="s">
        <v>822</v>
      </c>
      <c r="C95" s="119" t="s">
        <v>34</v>
      </c>
      <c r="D95" s="119" t="s">
        <v>946</v>
      </c>
      <c r="E95" s="119" t="s">
        <v>836</v>
      </c>
      <c r="F95" s="119" t="s">
        <v>213</v>
      </c>
      <c r="G95" s="119" t="s">
        <v>938</v>
      </c>
      <c r="H95" s="119" t="s">
        <v>213</v>
      </c>
      <c r="I95" s="119" t="s">
        <v>668</v>
      </c>
      <c r="J95" s="119" t="s">
        <v>838</v>
      </c>
    </row>
    <row r="96" customFormat="false" ht="27.75" hidden="false" customHeight="true" outlineLevel="0" collapsed="false">
      <c r="A96" s="119" t="n">
        <v>91</v>
      </c>
      <c r="B96" s="119" t="s">
        <v>822</v>
      </c>
      <c r="C96" s="119" t="s">
        <v>34</v>
      </c>
      <c r="D96" s="119" t="s">
        <v>947</v>
      </c>
      <c r="E96" s="119" t="s">
        <v>836</v>
      </c>
      <c r="F96" s="119" t="s">
        <v>244</v>
      </c>
      <c r="G96" s="119" t="s">
        <v>938</v>
      </c>
      <c r="H96" s="119" t="s">
        <v>213</v>
      </c>
      <c r="I96" s="119" t="s">
        <v>668</v>
      </c>
      <c r="J96" s="119" t="s">
        <v>838</v>
      </c>
    </row>
    <row r="97" customFormat="false" ht="15" hidden="false" customHeight="true" outlineLevel="0" collapsed="false">
      <c r="A97" s="119" t="n">
        <v>92</v>
      </c>
      <c r="B97" s="119" t="s">
        <v>822</v>
      </c>
      <c r="C97" s="119" t="s">
        <v>34</v>
      </c>
      <c r="D97" s="119" t="s">
        <v>948</v>
      </c>
      <c r="E97" s="119" t="s">
        <v>836</v>
      </c>
      <c r="F97" s="119" t="s">
        <v>245</v>
      </c>
      <c r="G97" s="119" t="s">
        <v>938</v>
      </c>
      <c r="H97" s="119" t="s">
        <v>213</v>
      </c>
      <c r="I97" s="119" t="s">
        <v>668</v>
      </c>
      <c r="J97" s="119" t="s">
        <v>838</v>
      </c>
    </row>
    <row r="98" customFormat="false" ht="15" hidden="false" customHeight="true" outlineLevel="0" collapsed="false">
      <c r="A98" s="119" t="n">
        <v>93</v>
      </c>
      <c r="B98" s="119" t="s">
        <v>822</v>
      </c>
      <c r="C98" s="119" t="s">
        <v>34</v>
      </c>
      <c r="D98" s="119" t="s">
        <v>949</v>
      </c>
      <c r="E98" s="119" t="s">
        <v>836</v>
      </c>
      <c r="F98" s="119" t="n">
        <v>0.1</v>
      </c>
      <c r="G98" s="119" t="s">
        <v>938</v>
      </c>
      <c r="H98" s="119" t="s">
        <v>213</v>
      </c>
      <c r="I98" s="119" t="s">
        <v>876</v>
      </c>
      <c r="J98" s="119" t="s">
        <v>838</v>
      </c>
    </row>
    <row r="99" customFormat="false" ht="15" hidden="false" customHeight="true" outlineLevel="0" collapsed="false">
      <c r="A99" s="119" t="n">
        <v>94</v>
      </c>
      <c r="B99" s="119" t="s">
        <v>822</v>
      </c>
      <c r="C99" s="119" t="s">
        <v>34</v>
      </c>
      <c r="D99" s="119" t="s">
        <v>950</v>
      </c>
      <c r="E99" s="119" t="s">
        <v>836</v>
      </c>
      <c r="F99" s="119" t="s">
        <v>246</v>
      </c>
      <c r="G99" s="119" t="s">
        <v>938</v>
      </c>
      <c r="H99" s="119" t="s">
        <v>213</v>
      </c>
      <c r="I99" s="119" t="s">
        <v>668</v>
      </c>
      <c r="J99" s="119" t="s">
        <v>838</v>
      </c>
    </row>
    <row r="100" customFormat="false" ht="15" hidden="false" customHeight="true" outlineLevel="0" collapsed="false">
      <c r="A100" s="119" t="n">
        <v>95</v>
      </c>
      <c r="B100" s="119" t="s">
        <v>822</v>
      </c>
      <c r="C100" s="119" t="s">
        <v>34</v>
      </c>
      <c r="D100" s="119" t="s">
        <v>951</v>
      </c>
      <c r="E100" s="119" t="s">
        <v>836</v>
      </c>
      <c r="F100" s="119" t="s">
        <v>213</v>
      </c>
      <c r="G100" s="119" t="s">
        <v>938</v>
      </c>
      <c r="H100" s="119" t="s">
        <v>213</v>
      </c>
      <c r="I100" s="119" t="s">
        <v>668</v>
      </c>
      <c r="J100" s="119" t="s">
        <v>838</v>
      </c>
    </row>
    <row r="101" customFormat="false" ht="27.75" hidden="false" customHeight="true" outlineLevel="0" collapsed="false">
      <c r="A101" s="119" t="n">
        <v>96</v>
      </c>
      <c r="B101" s="119" t="s">
        <v>822</v>
      </c>
      <c r="C101" s="119" t="s">
        <v>34</v>
      </c>
      <c r="D101" s="119" t="s">
        <v>952</v>
      </c>
      <c r="E101" s="119" t="s">
        <v>836</v>
      </c>
      <c r="F101" s="119" t="s">
        <v>247</v>
      </c>
      <c r="G101" s="119" t="s">
        <v>938</v>
      </c>
      <c r="H101" s="119" t="s">
        <v>213</v>
      </c>
      <c r="I101" s="119" t="s">
        <v>668</v>
      </c>
      <c r="J101" s="119" t="s">
        <v>838</v>
      </c>
    </row>
    <row r="102" customFormat="false" ht="40.5" hidden="false" customHeight="true" outlineLevel="0" collapsed="false">
      <c r="A102" s="119" t="n">
        <v>97</v>
      </c>
      <c r="B102" s="119" t="s">
        <v>822</v>
      </c>
      <c r="C102" s="119" t="s">
        <v>34</v>
      </c>
      <c r="D102" s="119" t="s">
        <v>953</v>
      </c>
      <c r="E102" s="119" t="s">
        <v>836</v>
      </c>
      <c r="F102" s="119" t="s">
        <v>248</v>
      </c>
      <c r="G102" s="119" t="s">
        <v>954</v>
      </c>
      <c r="H102" s="119" t="s">
        <v>213</v>
      </c>
      <c r="I102" s="119" t="s">
        <v>668</v>
      </c>
      <c r="J102" s="119" t="s">
        <v>838</v>
      </c>
    </row>
    <row r="103" customFormat="false" ht="40.5" hidden="false" customHeight="true" outlineLevel="0" collapsed="false">
      <c r="A103" s="119" t="n">
        <v>98</v>
      </c>
      <c r="B103" s="119" t="s">
        <v>822</v>
      </c>
      <c r="C103" s="119" t="s">
        <v>34</v>
      </c>
      <c r="D103" s="119" t="s">
        <v>955</v>
      </c>
      <c r="E103" s="119" t="s">
        <v>836</v>
      </c>
      <c r="F103" s="119" t="n">
        <v>0</v>
      </c>
      <c r="G103" s="119" t="s">
        <v>954</v>
      </c>
      <c r="H103" s="119" t="s">
        <v>213</v>
      </c>
      <c r="I103" s="119" t="s">
        <v>876</v>
      </c>
      <c r="J103" s="119" t="s">
        <v>838</v>
      </c>
    </row>
    <row r="104" customFormat="false" ht="40.5" hidden="false" customHeight="true" outlineLevel="0" collapsed="false">
      <c r="A104" s="119" t="n">
        <v>99</v>
      </c>
      <c r="B104" s="119" t="s">
        <v>822</v>
      </c>
      <c r="C104" s="119" t="s">
        <v>34</v>
      </c>
      <c r="D104" s="119" t="s">
        <v>956</v>
      </c>
      <c r="E104" s="119" t="s">
        <v>836</v>
      </c>
      <c r="F104" s="119" t="s">
        <v>212</v>
      </c>
      <c r="G104" s="119" t="s">
        <v>954</v>
      </c>
      <c r="H104" s="119" t="s">
        <v>213</v>
      </c>
      <c r="I104" s="119" t="s">
        <v>668</v>
      </c>
      <c r="J104" s="119" t="s">
        <v>838</v>
      </c>
    </row>
    <row r="105" customFormat="false" ht="40.5" hidden="false" customHeight="true" outlineLevel="0" collapsed="false">
      <c r="A105" s="119" t="n">
        <v>100</v>
      </c>
      <c r="B105" s="119" t="s">
        <v>822</v>
      </c>
      <c r="C105" s="119" t="s">
        <v>34</v>
      </c>
      <c r="D105" s="119" t="s">
        <v>957</v>
      </c>
      <c r="E105" s="119" t="s">
        <v>836</v>
      </c>
      <c r="F105" s="119" t="s">
        <v>213</v>
      </c>
      <c r="G105" s="119" t="s">
        <v>954</v>
      </c>
      <c r="H105" s="119" t="s">
        <v>213</v>
      </c>
      <c r="I105" s="119" t="s">
        <v>668</v>
      </c>
      <c r="J105" s="119" t="s">
        <v>838</v>
      </c>
    </row>
    <row r="106" customFormat="false" ht="66.75" hidden="false" customHeight="true" outlineLevel="0" collapsed="false">
      <c r="A106" s="119" t="n">
        <v>101</v>
      </c>
      <c r="B106" s="119" t="s">
        <v>822</v>
      </c>
      <c r="C106" s="119" t="s">
        <v>34</v>
      </c>
      <c r="D106" s="119" t="s">
        <v>958</v>
      </c>
      <c r="E106" s="119" t="s">
        <v>836</v>
      </c>
      <c r="F106" s="119" t="s">
        <v>249</v>
      </c>
      <c r="G106" s="119" t="s">
        <v>954</v>
      </c>
      <c r="H106" s="119" t="s">
        <v>213</v>
      </c>
      <c r="I106" s="119" t="s">
        <v>668</v>
      </c>
      <c r="J106" s="119" t="s">
        <v>838</v>
      </c>
    </row>
    <row r="107" customFormat="false" ht="15" hidden="false" customHeight="true" outlineLevel="0" collapsed="false">
      <c r="A107" s="119" t="n">
        <v>102</v>
      </c>
      <c r="B107" s="119" t="s">
        <v>822</v>
      </c>
      <c r="C107" s="119" t="s">
        <v>34</v>
      </c>
      <c r="D107" s="119" t="s">
        <v>959</v>
      </c>
      <c r="E107" s="119" t="s">
        <v>836</v>
      </c>
      <c r="F107" s="119" t="s">
        <v>250</v>
      </c>
      <c r="G107" s="119" t="s">
        <v>938</v>
      </c>
      <c r="H107" s="119" t="s">
        <v>213</v>
      </c>
      <c r="I107" s="119" t="s">
        <v>668</v>
      </c>
      <c r="J107" s="119" t="s">
        <v>838</v>
      </c>
    </row>
    <row r="108" customFormat="false" ht="15" hidden="false" customHeight="true" outlineLevel="0" collapsed="false">
      <c r="A108" s="119" t="n">
        <v>103</v>
      </c>
      <c r="B108" s="119" t="s">
        <v>822</v>
      </c>
      <c r="C108" s="119" t="s">
        <v>34</v>
      </c>
      <c r="D108" s="119" t="s">
        <v>960</v>
      </c>
      <c r="E108" s="119" t="s">
        <v>836</v>
      </c>
      <c r="F108" s="119" t="n">
        <v>0.5</v>
      </c>
      <c r="G108" s="119" t="s">
        <v>938</v>
      </c>
      <c r="H108" s="119" t="s">
        <v>213</v>
      </c>
      <c r="I108" s="119" t="s">
        <v>876</v>
      </c>
      <c r="J108" s="119" t="s">
        <v>838</v>
      </c>
    </row>
    <row r="109" customFormat="false" ht="15" hidden="false" customHeight="true" outlineLevel="0" collapsed="false">
      <c r="A109" s="119" t="n">
        <v>104</v>
      </c>
      <c r="B109" s="119" t="s">
        <v>822</v>
      </c>
      <c r="C109" s="119" t="s">
        <v>34</v>
      </c>
      <c r="D109" s="119" t="s">
        <v>961</v>
      </c>
      <c r="E109" s="119" t="s">
        <v>836</v>
      </c>
      <c r="F109" s="119" t="s">
        <v>251</v>
      </c>
      <c r="G109" s="119" t="s">
        <v>938</v>
      </c>
      <c r="H109" s="119" t="s">
        <v>213</v>
      </c>
      <c r="I109" s="119" t="s">
        <v>668</v>
      </c>
      <c r="J109" s="119" t="s">
        <v>838</v>
      </c>
    </row>
    <row r="110" customFormat="false" ht="15" hidden="false" customHeight="true" outlineLevel="0" collapsed="false">
      <c r="A110" s="119" t="n">
        <v>105</v>
      </c>
      <c r="B110" s="119" t="s">
        <v>822</v>
      </c>
      <c r="C110" s="119" t="s">
        <v>34</v>
      </c>
      <c r="D110" s="119" t="s">
        <v>962</v>
      </c>
      <c r="E110" s="119" t="s">
        <v>836</v>
      </c>
      <c r="F110" s="119" t="s">
        <v>213</v>
      </c>
      <c r="G110" s="119" t="s">
        <v>938</v>
      </c>
      <c r="H110" s="119" t="s">
        <v>213</v>
      </c>
      <c r="I110" s="119" t="s">
        <v>668</v>
      </c>
      <c r="J110" s="119" t="s">
        <v>838</v>
      </c>
    </row>
    <row r="111" customFormat="false" ht="54" hidden="false" customHeight="true" outlineLevel="0" collapsed="false">
      <c r="A111" s="119" t="n">
        <v>106</v>
      </c>
      <c r="B111" s="119" t="s">
        <v>822</v>
      </c>
      <c r="C111" s="119" t="s">
        <v>34</v>
      </c>
      <c r="D111" s="119" t="s">
        <v>963</v>
      </c>
      <c r="E111" s="119" t="s">
        <v>836</v>
      </c>
      <c r="F111" s="119" t="s">
        <v>252</v>
      </c>
      <c r="G111" s="119" t="s">
        <v>938</v>
      </c>
      <c r="H111" s="119" t="s">
        <v>213</v>
      </c>
      <c r="I111" s="119" t="s">
        <v>668</v>
      </c>
      <c r="J111" s="119" t="s">
        <v>838</v>
      </c>
    </row>
    <row r="112" customFormat="false" ht="66.75" hidden="false" customHeight="true" outlineLevel="0" collapsed="false">
      <c r="A112" s="119" t="n">
        <v>107</v>
      </c>
      <c r="B112" s="119" t="s">
        <v>822</v>
      </c>
      <c r="C112" s="119" t="s">
        <v>34</v>
      </c>
      <c r="D112" s="119" t="s">
        <v>964</v>
      </c>
      <c r="E112" s="119" t="s">
        <v>836</v>
      </c>
      <c r="F112" s="119" t="s">
        <v>253</v>
      </c>
      <c r="G112" s="119" t="s">
        <v>965</v>
      </c>
      <c r="H112" s="119" t="s">
        <v>827</v>
      </c>
      <c r="I112" s="119" t="s">
        <v>668</v>
      </c>
      <c r="J112" s="119" t="s">
        <v>838</v>
      </c>
    </row>
    <row r="113" customFormat="false" ht="40.5" hidden="false" customHeight="true" outlineLevel="0" collapsed="false">
      <c r="A113" s="119" t="n">
        <v>108</v>
      </c>
      <c r="B113" s="119" t="s">
        <v>822</v>
      </c>
      <c r="C113" s="119" t="s">
        <v>61</v>
      </c>
      <c r="D113" s="119" t="s">
        <v>966</v>
      </c>
      <c r="E113" s="119" t="s">
        <v>967</v>
      </c>
      <c r="F113" s="119" t="s">
        <v>968</v>
      </c>
      <c r="G113" s="119" t="s">
        <v>969</v>
      </c>
      <c r="H113" s="119" t="s">
        <v>213</v>
      </c>
      <c r="I113" s="119" t="s">
        <v>970</v>
      </c>
      <c r="J113" s="119" t="s">
        <v>971</v>
      </c>
    </row>
    <row r="114" customFormat="false" ht="27.75" hidden="false" customHeight="true" outlineLevel="0" collapsed="false">
      <c r="A114" s="119" t="n">
        <v>109</v>
      </c>
      <c r="B114" s="119" t="s">
        <v>822</v>
      </c>
      <c r="C114" s="119" t="s">
        <v>36</v>
      </c>
      <c r="D114" s="119" t="s">
        <v>863</v>
      </c>
      <c r="E114" s="119" t="s">
        <v>836</v>
      </c>
      <c r="F114" s="119" t="s">
        <v>283</v>
      </c>
      <c r="G114" s="119" t="s">
        <v>972</v>
      </c>
      <c r="H114" s="119" t="s">
        <v>827</v>
      </c>
      <c r="I114" s="119" t="s">
        <v>668</v>
      </c>
      <c r="J114" s="119" t="s">
        <v>838</v>
      </c>
    </row>
    <row r="115" customFormat="false" ht="15" hidden="false" customHeight="true" outlineLevel="0" collapsed="false">
      <c r="A115" s="119" t="n">
        <v>110</v>
      </c>
      <c r="B115" s="119" t="s">
        <v>822</v>
      </c>
      <c r="C115" s="119" t="s">
        <v>36</v>
      </c>
      <c r="D115" s="119" t="s">
        <v>973</v>
      </c>
      <c r="E115" s="119" t="s">
        <v>836</v>
      </c>
      <c r="F115" s="119" t="s">
        <v>257</v>
      </c>
      <c r="G115" s="119" t="s">
        <v>974</v>
      </c>
      <c r="H115" s="119" t="s">
        <v>827</v>
      </c>
      <c r="I115" s="119" t="s">
        <v>668</v>
      </c>
      <c r="J115" s="119" t="s">
        <v>838</v>
      </c>
    </row>
    <row r="116" customFormat="false" ht="15" hidden="false" customHeight="true" outlineLevel="0" collapsed="false">
      <c r="A116" s="119" t="n">
        <v>111</v>
      </c>
      <c r="B116" s="119" t="s">
        <v>822</v>
      </c>
      <c r="C116" s="119" t="s">
        <v>36</v>
      </c>
      <c r="D116" s="119" t="s">
        <v>975</v>
      </c>
      <c r="E116" s="119" t="s">
        <v>836</v>
      </c>
      <c r="F116" s="119" t="s">
        <v>258</v>
      </c>
      <c r="G116" s="119" t="s">
        <v>974</v>
      </c>
      <c r="H116" s="119" t="s">
        <v>827</v>
      </c>
      <c r="I116" s="119" t="s">
        <v>668</v>
      </c>
      <c r="J116" s="119" t="s">
        <v>838</v>
      </c>
    </row>
    <row r="117" customFormat="false" ht="15" hidden="false" customHeight="true" outlineLevel="0" collapsed="false">
      <c r="A117" s="119" t="n">
        <v>112</v>
      </c>
      <c r="B117" s="119" t="s">
        <v>822</v>
      </c>
      <c r="C117" s="119" t="s">
        <v>36</v>
      </c>
      <c r="D117" s="119" t="s">
        <v>976</v>
      </c>
      <c r="E117" s="119" t="s">
        <v>836</v>
      </c>
      <c r="F117" s="119" t="s">
        <v>259</v>
      </c>
      <c r="G117" s="119" t="s">
        <v>974</v>
      </c>
      <c r="H117" s="119" t="s">
        <v>827</v>
      </c>
      <c r="I117" s="119" t="s">
        <v>668</v>
      </c>
      <c r="J117" s="119" t="s">
        <v>838</v>
      </c>
    </row>
    <row r="118" customFormat="false" ht="15" hidden="false" customHeight="true" outlineLevel="0" collapsed="false">
      <c r="A118" s="119" t="n">
        <v>113</v>
      </c>
      <c r="B118" s="119" t="s">
        <v>822</v>
      </c>
      <c r="C118" s="119" t="s">
        <v>36</v>
      </c>
      <c r="D118" s="119" t="s">
        <v>977</v>
      </c>
      <c r="E118" s="119" t="s">
        <v>836</v>
      </c>
      <c r="F118" s="119" t="s">
        <v>260</v>
      </c>
      <c r="G118" s="119" t="s">
        <v>974</v>
      </c>
      <c r="H118" s="119" t="s">
        <v>827</v>
      </c>
      <c r="I118" s="119" t="s">
        <v>668</v>
      </c>
      <c r="J118" s="119" t="s">
        <v>838</v>
      </c>
    </row>
    <row r="119" customFormat="false" ht="15" hidden="false" customHeight="true" outlineLevel="0" collapsed="false">
      <c r="A119" s="119" t="n">
        <v>114</v>
      </c>
      <c r="B119" s="119" t="s">
        <v>822</v>
      </c>
      <c r="C119" s="119" t="s">
        <v>36</v>
      </c>
      <c r="D119" s="119" t="s">
        <v>978</v>
      </c>
      <c r="E119" s="119" t="s">
        <v>836</v>
      </c>
      <c r="F119" s="119" t="s">
        <v>261</v>
      </c>
      <c r="G119" s="119" t="s">
        <v>974</v>
      </c>
      <c r="H119" s="119" t="s">
        <v>827</v>
      </c>
      <c r="I119" s="119" t="s">
        <v>668</v>
      </c>
      <c r="J119" s="119" t="s">
        <v>838</v>
      </c>
    </row>
    <row r="120" customFormat="false" ht="15" hidden="false" customHeight="true" outlineLevel="0" collapsed="false">
      <c r="A120" s="119" t="n">
        <v>115</v>
      </c>
      <c r="B120" s="119" t="s">
        <v>822</v>
      </c>
      <c r="C120" s="119" t="s">
        <v>36</v>
      </c>
      <c r="D120" s="119" t="s">
        <v>979</v>
      </c>
      <c r="E120" s="119" t="s">
        <v>836</v>
      </c>
      <c r="F120" s="119" t="s">
        <v>262</v>
      </c>
      <c r="G120" s="119" t="s">
        <v>974</v>
      </c>
      <c r="H120" s="119" t="s">
        <v>827</v>
      </c>
      <c r="I120" s="119" t="s">
        <v>668</v>
      </c>
      <c r="J120" s="119" t="s">
        <v>838</v>
      </c>
    </row>
    <row r="121" customFormat="false" ht="15" hidden="false" customHeight="true" outlineLevel="0" collapsed="false">
      <c r="A121" s="119" t="n">
        <v>116</v>
      </c>
      <c r="B121" s="119" t="s">
        <v>822</v>
      </c>
      <c r="C121" s="119" t="s">
        <v>36</v>
      </c>
      <c r="D121" s="119" t="s">
        <v>980</v>
      </c>
      <c r="E121" s="119" t="s">
        <v>836</v>
      </c>
      <c r="F121" s="119" t="s">
        <v>284</v>
      </c>
      <c r="G121" s="119" t="s">
        <v>981</v>
      </c>
      <c r="H121" s="119" t="s">
        <v>213</v>
      </c>
      <c r="I121" s="119" t="s">
        <v>668</v>
      </c>
      <c r="J121" s="119" t="s">
        <v>838</v>
      </c>
    </row>
    <row r="122" customFormat="false" ht="27.75" hidden="false" customHeight="true" outlineLevel="0" collapsed="false">
      <c r="A122" s="119" t="n">
        <v>117</v>
      </c>
      <c r="B122" s="119" t="s">
        <v>822</v>
      </c>
      <c r="C122" s="119" t="s">
        <v>36</v>
      </c>
      <c r="D122" s="119" t="s">
        <v>982</v>
      </c>
      <c r="E122" s="119" t="s">
        <v>836</v>
      </c>
      <c r="F122" s="119" t="s">
        <v>983</v>
      </c>
      <c r="G122" s="119" t="s">
        <v>981</v>
      </c>
      <c r="H122" s="119" t="s">
        <v>213</v>
      </c>
      <c r="I122" s="119" t="s">
        <v>984</v>
      </c>
      <c r="J122" s="119" t="s">
        <v>838</v>
      </c>
    </row>
    <row r="123" customFormat="false" ht="27.75" hidden="false" customHeight="true" outlineLevel="0" collapsed="false">
      <c r="A123" s="119" t="n">
        <v>118</v>
      </c>
      <c r="B123" s="119" t="s">
        <v>822</v>
      </c>
      <c r="C123" s="119" t="s">
        <v>36</v>
      </c>
      <c r="D123" s="119" t="s">
        <v>985</v>
      </c>
      <c r="E123" s="119" t="s">
        <v>836</v>
      </c>
      <c r="F123" s="119" t="s">
        <v>986</v>
      </c>
      <c r="G123" s="119" t="s">
        <v>981</v>
      </c>
      <c r="H123" s="119" t="s">
        <v>213</v>
      </c>
      <c r="I123" s="119" t="s">
        <v>984</v>
      </c>
      <c r="J123" s="119" t="s">
        <v>838</v>
      </c>
    </row>
    <row r="124" customFormat="false" ht="27.75" hidden="false" customHeight="true" outlineLevel="0" collapsed="false">
      <c r="A124" s="119" t="n">
        <v>119</v>
      </c>
      <c r="B124" s="119" t="s">
        <v>822</v>
      </c>
      <c r="C124" s="119" t="s">
        <v>36</v>
      </c>
      <c r="D124" s="119" t="s">
        <v>987</v>
      </c>
      <c r="E124" s="119" t="s">
        <v>836</v>
      </c>
      <c r="F124" s="119" t="s">
        <v>988</v>
      </c>
      <c r="G124" s="119" t="s">
        <v>981</v>
      </c>
      <c r="H124" s="119" t="s">
        <v>213</v>
      </c>
      <c r="I124" s="119" t="s">
        <v>984</v>
      </c>
      <c r="J124" s="119" t="s">
        <v>838</v>
      </c>
    </row>
    <row r="125" customFormat="false" ht="27.75" hidden="false" customHeight="true" outlineLevel="0" collapsed="false">
      <c r="A125" s="119" t="n">
        <v>120</v>
      </c>
      <c r="B125" s="119" t="s">
        <v>822</v>
      </c>
      <c r="C125" s="119" t="s">
        <v>36</v>
      </c>
      <c r="D125" s="119" t="s">
        <v>989</v>
      </c>
      <c r="E125" s="119" t="s">
        <v>836</v>
      </c>
      <c r="F125" s="119" t="s">
        <v>990</v>
      </c>
      <c r="G125" s="119" t="s">
        <v>981</v>
      </c>
      <c r="H125" s="119" t="s">
        <v>213</v>
      </c>
      <c r="I125" s="119" t="s">
        <v>984</v>
      </c>
      <c r="J125" s="119" t="s">
        <v>838</v>
      </c>
    </row>
    <row r="126" customFormat="false" ht="27.75" hidden="false" customHeight="true" outlineLevel="0" collapsed="false">
      <c r="A126" s="119" t="n">
        <v>121</v>
      </c>
      <c r="B126" s="119" t="s">
        <v>822</v>
      </c>
      <c r="C126" s="119" t="s">
        <v>36</v>
      </c>
      <c r="D126" s="119" t="s">
        <v>991</v>
      </c>
      <c r="E126" s="119" t="s">
        <v>836</v>
      </c>
      <c r="F126" s="119" t="s">
        <v>992</v>
      </c>
      <c r="G126" s="119" t="s">
        <v>981</v>
      </c>
      <c r="H126" s="119" t="s">
        <v>213</v>
      </c>
      <c r="I126" s="119" t="s">
        <v>984</v>
      </c>
      <c r="J126" s="119" t="s">
        <v>838</v>
      </c>
    </row>
    <row r="127" customFormat="false" ht="15" hidden="false" customHeight="true" outlineLevel="0" collapsed="false">
      <c r="A127" s="119" t="n">
        <v>122</v>
      </c>
      <c r="B127" s="119" t="s">
        <v>822</v>
      </c>
      <c r="C127" s="119" t="s">
        <v>36</v>
      </c>
      <c r="D127" s="119" t="s">
        <v>993</v>
      </c>
      <c r="E127" s="119" t="s">
        <v>836</v>
      </c>
      <c r="F127" s="119" t="s">
        <v>285</v>
      </c>
      <c r="G127" s="119" t="s">
        <v>981</v>
      </c>
      <c r="H127" s="119" t="s">
        <v>213</v>
      </c>
      <c r="I127" s="119" t="s">
        <v>668</v>
      </c>
      <c r="J127" s="119" t="s">
        <v>838</v>
      </c>
    </row>
    <row r="128" customFormat="false" ht="27.75" hidden="false" customHeight="true" outlineLevel="0" collapsed="false">
      <c r="A128" s="119" t="n">
        <v>123</v>
      </c>
      <c r="B128" s="119" t="s">
        <v>822</v>
      </c>
      <c r="C128" s="119" t="s">
        <v>36</v>
      </c>
      <c r="D128" s="119" t="s">
        <v>994</v>
      </c>
      <c r="E128" s="119" t="s">
        <v>836</v>
      </c>
      <c r="F128" s="119" t="s">
        <v>995</v>
      </c>
      <c r="G128" s="119" t="s">
        <v>981</v>
      </c>
      <c r="H128" s="119" t="s">
        <v>213</v>
      </c>
      <c r="I128" s="119" t="s">
        <v>984</v>
      </c>
      <c r="J128" s="119" t="s">
        <v>838</v>
      </c>
    </row>
    <row r="129" customFormat="false" ht="27.75" hidden="false" customHeight="true" outlineLevel="0" collapsed="false">
      <c r="A129" s="119" t="n">
        <v>124</v>
      </c>
      <c r="B129" s="119" t="s">
        <v>822</v>
      </c>
      <c r="C129" s="119" t="s">
        <v>36</v>
      </c>
      <c r="D129" s="119" t="s">
        <v>996</v>
      </c>
      <c r="E129" s="119" t="s">
        <v>836</v>
      </c>
      <c r="F129" s="119" t="s">
        <v>997</v>
      </c>
      <c r="G129" s="119" t="s">
        <v>981</v>
      </c>
      <c r="H129" s="119" t="s">
        <v>213</v>
      </c>
      <c r="I129" s="119" t="s">
        <v>984</v>
      </c>
      <c r="J129" s="119" t="s">
        <v>838</v>
      </c>
    </row>
    <row r="130" customFormat="false" ht="27.75" hidden="false" customHeight="true" outlineLevel="0" collapsed="false">
      <c r="A130" s="119" t="n">
        <v>125</v>
      </c>
      <c r="B130" s="119" t="s">
        <v>822</v>
      </c>
      <c r="C130" s="119" t="s">
        <v>36</v>
      </c>
      <c r="D130" s="119" t="s">
        <v>998</v>
      </c>
      <c r="E130" s="119" t="s">
        <v>836</v>
      </c>
      <c r="F130" s="119" t="s">
        <v>999</v>
      </c>
      <c r="G130" s="119" t="s">
        <v>981</v>
      </c>
      <c r="H130" s="119" t="s">
        <v>213</v>
      </c>
      <c r="I130" s="119" t="s">
        <v>984</v>
      </c>
      <c r="J130" s="119" t="s">
        <v>838</v>
      </c>
    </row>
    <row r="131" customFormat="false" ht="27.75" hidden="false" customHeight="true" outlineLevel="0" collapsed="false">
      <c r="A131" s="119" t="n">
        <v>126</v>
      </c>
      <c r="B131" s="119" t="s">
        <v>822</v>
      </c>
      <c r="C131" s="119" t="s">
        <v>36</v>
      </c>
      <c r="D131" s="119" t="s">
        <v>1000</v>
      </c>
      <c r="E131" s="119" t="s">
        <v>836</v>
      </c>
      <c r="F131" s="119" t="s">
        <v>1001</v>
      </c>
      <c r="G131" s="119" t="s">
        <v>981</v>
      </c>
      <c r="H131" s="119" t="s">
        <v>213</v>
      </c>
      <c r="I131" s="119" t="s">
        <v>984</v>
      </c>
      <c r="J131" s="119" t="s">
        <v>838</v>
      </c>
    </row>
    <row r="132" customFormat="false" ht="27.75" hidden="false" customHeight="true" outlineLevel="0" collapsed="false">
      <c r="A132" s="119" t="n">
        <v>127</v>
      </c>
      <c r="B132" s="119" t="s">
        <v>822</v>
      </c>
      <c r="C132" s="119" t="s">
        <v>36</v>
      </c>
      <c r="D132" s="119" t="s">
        <v>1002</v>
      </c>
      <c r="E132" s="119" t="s">
        <v>836</v>
      </c>
      <c r="F132" s="119" t="s">
        <v>1003</v>
      </c>
      <c r="G132" s="119" t="s">
        <v>981</v>
      </c>
      <c r="H132" s="119" t="s">
        <v>213</v>
      </c>
      <c r="I132" s="119" t="s">
        <v>984</v>
      </c>
      <c r="J132" s="119" t="s">
        <v>838</v>
      </c>
    </row>
    <row r="133" customFormat="false" ht="15" hidden="false" customHeight="true" outlineLevel="0" collapsed="false">
      <c r="A133" s="119" t="n">
        <v>128</v>
      </c>
      <c r="B133" s="119" t="s">
        <v>822</v>
      </c>
      <c r="C133" s="119" t="s">
        <v>36</v>
      </c>
      <c r="D133" s="119" t="s">
        <v>1004</v>
      </c>
      <c r="E133" s="119" t="s">
        <v>836</v>
      </c>
      <c r="F133" s="119" t="s">
        <v>286</v>
      </c>
      <c r="G133" s="119" t="s">
        <v>981</v>
      </c>
      <c r="H133" s="119" t="s">
        <v>213</v>
      </c>
      <c r="I133" s="119" t="s">
        <v>668</v>
      </c>
      <c r="J133" s="119" t="s">
        <v>838</v>
      </c>
    </row>
    <row r="134" customFormat="false" ht="27.75" hidden="false" customHeight="true" outlineLevel="0" collapsed="false">
      <c r="A134" s="119" t="n">
        <v>129</v>
      </c>
      <c r="B134" s="119" t="s">
        <v>822</v>
      </c>
      <c r="C134" s="119" t="s">
        <v>36</v>
      </c>
      <c r="D134" s="119" t="s">
        <v>1005</v>
      </c>
      <c r="E134" s="119" t="s">
        <v>836</v>
      </c>
      <c r="F134" s="119" t="s">
        <v>1006</v>
      </c>
      <c r="G134" s="119" t="s">
        <v>981</v>
      </c>
      <c r="H134" s="119" t="s">
        <v>213</v>
      </c>
      <c r="I134" s="119" t="s">
        <v>984</v>
      </c>
      <c r="J134" s="119" t="s">
        <v>838</v>
      </c>
    </row>
    <row r="135" customFormat="false" ht="27.75" hidden="false" customHeight="true" outlineLevel="0" collapsed="false">
      <c r="A135" s="119" t="n">
        <v>130</v>
      </c>
      <c r="B135" s="119" t="s">
        <v>822</v>
      </c>
      <c r="C135" s="119" t="s">
        <v>36</v>
      </c>
      <c r="D135" s="119" t="s">
        <v>1007</v>
      </c>
      <c r="E135" s="119" t="s">
        <v>836</v>
      </c>
      <c r="F135" s="119" t="s">
        <v>1008</v>
      </c>
      <c r="G135" s="119" t="s">
        <v>981</v>
      </c>
      <c r="H135" s="119" t="s">
        <v>213</v>
      </c>
      <c r="I135" s="119" t="s">
        <v>984</v>
      </c>
      <c r="J135" s="119" t="s">
        <v>838</v>
      </c>
    </row>
    <row r="136" customFormat="false" ht="27.75" hidden="false" customHeight="true" outlineLevel="0" collapsed="false">
      <c r="A136" s="119" t="n">
        <v>131</v>
      </c>
      <c r="B136" s="119" t="s">
        <v>822</v>
      </c>
      <c r="C136" s="119" t="s">
        <v>36</v>
      </c>
      <c r="D136" s="119" t="s">
        <v>1009</v>
      </c>
      <c r="E136" s="119" t="s">
        <v>836</v>
      </c>
      <c r="F136" s="119" t="s">
        <v>1010</v>
      </c>
      <c r="G136" s="119" t="s">
        <v>981</v>
      </c>
      <c r="H136" s="119" t="s">
        <v>213</v>
      </c>
      <c r="I136" s="119" t="s">
        <v>984</v>
      </c>
      <c r="J136" s="119" t="s">
        <v>838</v>
      </c>
    </row>
    <row r="137" customFormat="false" ht="27.75" hidden="false" customHeight="true" outlineLevel="0" collapsed="false">
      <c r="A137" s="119" t="n">
        <v>132</v>
      </c>
      <c r="B137" s="119" t="s">
        <v>822</v>
      </c>
      <c r="C137" s="119" t="s">
        <v>36</v>
      </c>
      <c r="D137" s="119" t="s">
        <v>1011</v>
      </c>
      <c r="E137" s="119" t="s">
        <v>836</v>
      </c>
      <c r="F137" s="119" t="s">
        <v>1012</v>
      </c>
      <c r="G137" s="119" t="s">
        <v>981</v>
      </c>
      <c r="H137" s="119" t="s">
        <v>213</v>
      </c>
      <c r="I137" s="119" t="s">
        <v>984</v>
      </c>
      <c r="J137" s="119" t="s">
        <v>838</v>
      </c>
    </row>
    <row r="138" customFormat="false" ht="27.75" hidden="false" customHeight="true" outlineLevel="0" collapsed="false">
      <c r="A138" s="119" t="n">
        <v>133</v>
      </c>
      <c r="B138" s="119" t="s">
        <v>822</v>
      </c>
      <c r="C138" s="119" t="s">
        <v>36</v>
      </c>
      <c r="D138" s="119" t="s">
        <v>1013</v>
      </c>
      <c r="E138" s="119" t="s">
        <v>836</v>
      </c>
      <c r="F138" s="119" t="s">
        <v>1014</v>
      </c>
      <c r="G138" s="119" t="s">
        <v>981</v>
      </c>
      <c r="H138" s="119" t="s">
        <v>213</v>
      </c>
      <c r="I138" s="119" t="s">
        <v>984</v>
      </c>
      <c r="J138" s="119" t="s">
        <v>838</v>
      </c>
    </row>
    <row r="139" customFormat="false" ht="15" hidden="false" customHeight="true" outlineLevel="0" collapsed="false">
      <c r="A139" s="119" t="n">
        <v>134</v>
      </c>
      <c r="B139" s="119" t="s">
        <v>822</v>
      </c>
      <c r="C139" s="119" t="s">
        <v>36</v>
      </c>
      <c r="D139" s="119" t="s">
        <v>1015</v>
      </c>
      <c r="E139" s="119" t="s">
        <v>836</v>
      </c>
      <c r="F139" s="119" t="s">
        <v>287</v>
      </c>
      <c r="G139" s="119" t="s">
        <v>981</v>
      </c>
      <c r="H139" s="119" t="s">
        <v>213</v>
      </c>
      <c r="I139" s="119" t="s">
        <v>668</v>
      </c>
      <c r="J139" s="119" t="s">
        <v>838</v>
      </c>
    </row>
    <row r="140" customFormat="false" ht="27.75" hidden="false" customHeight="true" outlineLevel="0" collapsed="false">
      <c r="A140" s="119" t="n">
        <v>135</v>
      </c>
      <c r="B140" s="119" t="s">
        <v>822</v>
      </c>
      <c r="C140" s="119" t="s">
        <v>36</v>
      </c>
      <c r="D140" s="119" t="s">
        <v>1016</v>
      </c>
      <c r="E140" s="119" t="s">
        <v>836</v>
      </c>
      <c r="F140" s="119" t="s">
        <v>1017</v>
      </c>
      <c r="G140" s="119" t="s">
        <v>981</v>
      </c>
      <c r="H140" s="119" t="s">
        <v>213</v>
      </c>
      <c r="I140" s="119" t="s">
        <v>984</v>
      </c>
      <c r="J140" s="119" t="s">
        <v>838</v>
      </c>
    </row>
    <row r="141" customFormat="false" ht="27.75" hidden="false" customHeight="true" outlineLevel="0" collapsed="false">
      <c r="A141" s="119" t="n">
        <v>136</v>
      </c>
      <c r="B141" s="119" t="s">
        <v>822</v>
      </c>
      <c r="C141" s="119" t="s">
        <v>36</v>
      </c>
      <c r="D141" s="119" t="s">
        <v>1018</v>
      </c>
      <c r="E141" s="119" t="s">
        <v>836</v>
      </c>
      <c r="F141" s="119" t="s">
        <v>1019</v>
      </c>
      <c r="G141" s="119" t="s">
        <v>981</v>
      </c>
      <c r="H141" s="119" t="s">
        <v>213</v>
      </c>
      <c r="I141" s="119" t="s">
        <v>984</v>
      </c>
      <c r="J141" s="119" t="s">
        <v>838</v>
      </c>
    </row>
    <row r="142" customFormat="false" ht="27.75" hidden="false" customHeight="true" outlineLevel="0" collapsed="false">
      <c r="A142" s="119" t="n">
        <v>137</v>
      </c>
      <c r="B142" s="119" t="s">
        <v>822</v>
      </c>
      <c r="C142" s="119" t="s">
        <v>36</v>
      </c>
      <c r="D142" s="119" t="s">
        <v>1020</v>
      </c>
      <c r="E142" s="119" t="s">
        <v>836</v>
      </c>
      <c r="F142" s="119" t="s">
        <v>1021</v>
      </c>
      <c r="G142" s="119" t="s">
        <v>981</v>
      </c>
      <c r="H142" s="119" t="s">
        <v>213</v>
      </c>
      <c r="I142" s="119" t="s">
        <v>984</v>
      </c>
      <c r="J142" s="119" t="s">
        <v>838</v>
      </c>
    </row>
    <row r="143" customFormat="false" ht="27.75" hidden="false" customHeight="true" outlineLevel="0" collapsed="false">
      <c r="A143" s="119" t="n">
        <v>138</v>
      </c>
      <c r="B143" s="119" t="s">
        <v>822</v>
      </c>
      <c r="C143" s="119" t="s">
        <v>36</v>
      </c>
      <c r="D143" s="119" t="s">
        <v>1022</v>
      </c>
      <c r="E143" s="119" t="s">
        <v>836</v>
      </c>
      <c r="F143" s="119" t="s">
        <v>1023</v>
      </c>
      <c r="G143" s="119" t="s">
        <v>981</v>
      </c>
      <c r="H143" s="119" t="s">
        <v>213</v>
      </c>
      <c r="I143" s="119" t="s">
        <v>984</v>
      </c>
      <c r="J143" s="119" t="s">
        <v>838</v>
      </c>
    </row>
    <row r="144" customFormat="false" ht="27.75" hidden="false" customHeight="true" outlineLevel="0" collapsed="false">
      <c r="A144" s="119" t="n">
        <v>139</v>
      </c>
      <c r="B144" s="119" t="s">
        <v>822</v>
      </c>
      <c r="C144" s="119" t="s">
        <v>36</v>
      </c>
      <c r="D144" s="119" t="s">
        <v>1024</v>
      </c>
      <c r="E144" s="119" t="s">
        <v>836</v>
      </c>
      <c r="F144" s="119" t="s">
        <v>1025</v>
      </c>
      <c r="G144" s="119" t="s">
        <v>981</v>
      </c>
      <c r="H144" s="119" t="s">
        <v>213</v>
      </c>
      <c r="I144" s="119" t="s">
        <v>984</v>
      </c>
      <c r="J144" s="119" t="s">
        <v>838</v>
      </c>
    </row>
    <row r="145" customFormat="false" ht="15" hidden="false" customHeight="true" outlineLevel="0" collapsed="false">
      <c r="A145" s="119" t="n">
        <v>140</v>
      </c>
      <c r="B145" s="119" t="s">
        <v>822</v>
      </c>
      <c r="C145" s="119" t="s">
        <v>36</v>
      </c>
      <c r="D145" s="119" t="s">
        <v>1026</v>
      </c>
      <c r="E145" s="119" t="s">
        <v>836</v>
      </c>
      <c r="F145" s="119" t="s">
        <v>288</v>
      </c>
      <c r="G145" s="119" t="s">
        <v>981</v>
      </c>
      <c r="H145" s="119" t="s">
        <v>213</v>
      </c>
      <c r="I145" s="119" t="s">
        <v>668</v>
      </c>
      <c r="J145" s="119" t="s">
        <v>838</v>
      </c>
    </row>
    <row r="146" customFormat="false" ht="27.75" hidden="false" customHeight="true" outlineLevel="0" collapsed="false">
      <c r="A146" s="119" t="n">
        <v>141</v>
      </c>
      <c r="B146" s="119" t="s">
        <v>822</v>
      </c>
      <c r="C146" s="119" t="s">
        <v>36</v>
      </c>
      <c r="D146" s="119" t="s">
        <v>1027</v>
      </c>
      <c r="E146" s="119" t="s">
        <v>836</v>
      </c>
      <c r="F146" s="119" t="s">
        <v>1028</v>
      </c>
      <c r="G146" s="119" t="s">
        <v>981</v>
      </c>
      <c r="H146" s="119" t="s">
        <v>213</v>
      </c>
      <c r="I146" s="119" t="s">
        <v>984</v>
      </c>
      <c r="J146" s="119" t="s">
        <v>838</v>
      </c>
    </row>
    <row r="147" customFormat="false" ht="27.75" hidden="false" customHeight="true" outlineLevel="0" collapsed="false">
      <c r="A147" s="119" t="n">
        <v>142</v>
      </c>
      <c r="B147" s="119" t="s">
        <v>822</v>
      </c>
      <c r="C147" s="119" t="s">
        <v>36</v>
      </c>
      <c r="D147" s="119" t="s">
        <v>1029</v>
      </c>
      <c r="E147" s="119" t="s">
        <v>836</v>
      </c>
      <c r="F147" s="119" t="s">
        <v>1030</v>
      </c>
      <c r="G147" s="119" t="s">
        <v>981</v>
      </c>
      <c r="H147" s="119" t="s">
        <v>213</v>
      </c>
      <c r="I147" s="119" t="s">
        <v>984</v>
      </c>
      <c r="J147" s="119" t="s">
        <v>838</v>
      </c>
    </row>
    <row r="148" customFormat="false" ht="27.75" hidden="false" customHeight="true" outlineLevel="0" collapsed="false">
      <c r="A148" s="119" t="n">
        <v>143</v>
      </c>
      <c r="B148" s="119" t="s">
        <v>822</v>
      </c>
      <c r="C148" s="119" t="s">
        <v>36</v>
      </c>
      <c r="D148" s="119" t="s">
        <v>1031</v>
      </c>
      <c r="E148" s="119" t="s">
        <v>836</v>
      </c>
      <c r="F148" s="119" t="s">
        <v>1032</v>
      </c>
      <c r="G148" s="119" t="s">
        <v>981</v>
      </c>
      <c r="H148" s="119" t="s">
        <v>213</v>
      </c>
      <c r="I148" s="119" t="s">
        <v>984</v>
      </c>
      <c r="J148" s="119" t="s">
        <v>838</v>
      </c>
    </row>
    <row r="149" customFormat="false" ht="27.75" hidden="false" customHeight="true" outlineLevel="0" collapsed="false">
      <c r="A149" s="119" t="n">
        <v>144</v>
      </c>
      <c r="B149" s="119" t="s">
        <v>822</v>
      </c>
      <c r="C149" s="119" t="s">
        <v>36</v>
      </c>
      <c r="D149" s="119" t="s">
        <v>1033</v>
      </c>
      <c r="E149" s="119" t="s">
        <v>836</v>
      </c>
      <c r="F149" s="119" t="s">
        <v>1034</v>
      </c>
      <c r="G149" s="119" t="s">
        <v>981</v>
      </c>
      <c r="H149" s="119" t="s">
        <v>213</v>
      </c>
      <c r="I149" s="119" t="s">
        <v>984</v>
      </c>
      <c r="J149" s="119" t="s">
        <v>838</v>
      </c>
    </row>
    <row r="150" customFormat="false" ht="27.75" hidden="false" customHeight="true" outlineLevel="0" collapsed="false">
      <c r="A150" s="119" t="n">
        <v>145</v>
      </c>
      <c r="B150" s="119" t="s">
        <v>822</v>
      </c>
      <c r="C150" s="119" t="s">
        <v>36</v>
      </c>
      <c r="D150" s="119" t="s">
        <v>1035</v>
      </c>
      <c r="E150" s="119" t="s">
        <v>836</v>
      </c>
      <c r="F150" s="119" t="s">
        <v>1036</v>
      </c>
      <c r="G150" s="119" t="s">
        <v>981</v>
      </c>
      <c r="H150" s="119" t="s">
        <v>213</v>
      </c>
      <c r="I150" s="119" t="s">
        <v>984</v>
      </c>
      <c r="J150" s="119" t="s">
        <v>838</v>
      </c>
    </row>
    <row r="151" customFormat="false" ht="15" hidden="false" customHeight="true" outlineLevel="0" collapsed="false">
      <c r="A151" s="119" t="n">
        <v>146</v>
      </c>
      <c r="B151" s="119" t="s">
        <v>822</v>
      </c>
      <c r="C151" s="119" t="s">
        <v>36</v>
      </c>
      <c r="D151" s="119" t="s">
        <v>1037</v>
      </c>
      <c r="E151" s="119" t="s">
        <v>836</v>
      </c>
      <c r="F151" s="119" t="s">
        <v>289</v>
      </c>
      <c r="G151" s="119" t="s">
        <v>981</v>
      </c>
      <c r="H151" s="119" t="s">
        <v>213</v>
      </c>
      <c r="I151" s="119" t="s">
        <v>668</v>
      </c>
      <c r="J151" s="119" t="s">
        <v>838</v>
      </c>
    </row>
    <row r="152" customFormat="false" ht="27.75" hidden="false" customHeight="true" outlineLevel="0" collapsed="false">
      <c r="A152" s="119" t="n">
        <v>147</v>
      </c>
      <c r="B152" s="119" t="s">
        <v>822</v>
      </c>
      <c r="C152" s="119" t="s">
        <v>36</v>
      </c>
      <c r="D152" s="119" t="s">
        <v>1038</v>
      </c>
      <c r="E152" s="119" t="s">
        <v>836</v>
      </c>
      <c r="F152" s="119" t="s">
        <v>1039</v>
      </c>
      <c r="G152" s="119" t="s">
        <v>981</v>
      </c>
      <c r="H152" s="119" t="s">
        <v>213</v>
      </c>
      <c r="I152" s="119" t="s">
        <v>984</v>
      </c>
      <c r="J152" s="119" t="s">
        <v>838</v>
      </c>
    </row>
    <row r="153" customFormat="false" ht="27.75" hidden="false" customHeight="true" outlineLevel="0" collapsed="false">
      <c r="A153" s="119" t="n">
        <v>148</v>
      </c>
      <c r="B153" s="119" t="s">
        <v>822</v>
      </c>
      <c r="C153" s="119" t="s">
        <v>36</v>
      </c>
      <c r="D153" s="119" t="s">
        <v>1040</v>
      </c>
      <c r="E153" s="119" t="s">
        <v>836</v>
      </c>
      <c r="F153" s="119" t="s">
        <v>1041</v>
      </c>
      <c r="G153" s="119" t="s">
        <v>981</v>
      </c>
      <c r="H153" s="119" t="s">
        <v>213</v>
      </c>
      <c r="I153" s="119" t="s">
        <v>984</v>
      </c>
      <c r="J153" s="119" t="s">
        <v>838</v>
      </c>
    </row>
    <row r="154" customFormat="false" ht="27.75" hidden="false" customHeight="true" outlineLevel="0" collapsed="false">
      <c r="A154" s="119" t="n">
        <v>149</v>
      </c>
      <c r="B154" s="119" t="s">
        <v>822</v>
      </c>
      <c r="C154" s="119" t="s">
        <v>36</v>
      </c>
      <c r="D154" s="119" t="s">
        <v>1042</v>
      </c>
      <c r="E154" s="119" t="s">
        <v>836</v>
      </c>
      <c r="F154" s="119" t="s">
        <v>1043</v>
      </c>
      <c r="G154" s="119" t="s">
        <v>981</v>
      </c>
      <c r="H154" s="119" t="s">
        <v>213</v>
      </c>
      <c r="I154" s="119" t="s">
        <v>984</v>
      </c>
      <c r="J154" s="119" t="s">
        <v>838</v>
      </c>
    </row>
    <row r="155" customFormat="false" ht="27.75" hidden="false" customHeight="true" outlineLevel="0" collapsed="false">
      <c r="A155" s="119" t="n">
        <v>150</v>
      </c>
      <c r="B155" s="119" t="s">
        <v>822</v>
      </c>
      <c r="C155" s="119" t="s">
        <v>36</v>
      </c>
      <c r="D155" s="119" t="s">
        <v>1044</v>
      </c>
      <c r="E155" s="119" t="s">
        <v>836</v>
      </c>
      <c r="F155" s="119" t="s">
        <v>1045</v>
      </c>
      <c r="G155" s="119" t="s">
        <v>981</v>
      </c>
      <c r="H155" s="119" t="s">
        <v>213</v>
      </c>
      <c r="I155" s="119" t="s">
        <v>984</v>
      </c>
      <c r="J155" s="119" t="s">
        <v>838</v>
      </c>
    </row>
    <row r="156" customFormat="false" ht="27.75" hidden="false" customHeight="true" outlineLevel="0" collapsed="false">
      <c r="A156" s="119" t="n">
        <v>151</v>
      </c>
      <c r="B156" s="119" t="s">
        <v>822</v>
      </c>
      <c r="C156" s="119" t="s">
        <v>36</v>
      </c>
      <c r="D156" s="119" t="s">
        <v>1046</v>
      </c>
      <c r="E156" s="119" t="s">
        <v>836</v>
      </c>
      <c r="F156" s="119" t="s">
        <v>1047</v>
      </c>
      <c r="G156" s="119" t="s">
        <v>981</v>
      </c>
      <c r="H156" s="119" t="s">
        <v>213</v>
      </c>
      <c r="I156" s="119" t="s">
        <v>984</v>
      </c>
      <c r="J156" s="119" t="s">
        <v>838</v>
      </c>
    </row>
    <row r="157" customFormat="false" ht="15" hidden="false" customHeight="true" outlineLevel="0" collapsed="false">
      <c r="A157" s="119" t="n">
        <v>152</v>
      </c>
      <c r="B157" s="119" t="s">
        <v>822</v>
      </c>
      <c r="C157" s="119" t="s">
        <v>36</v>
      </c>
      <c r="D157" s="119" t="s">
        <v>1048</v>
      </c>
      <c r="E157" s="119" t="s">
        <v>836</v>
      </c>
      <c r="F157" s="119" t="s">
        <v>290</v>
      </c>
      <c r="G157" s="119" t="s">
        <v>981</v>
      </c>
      <c r="H157" s="119" t="s">
        <v>213</v>
      </c>
      <c r="I157" s="119" t="s">
        <v>668</v>
      </c>
      <c r="J157" s="119" t="s">
        <v>838</v>
      </c>
    </row>
    <row r="158" customFormat="false" ht="27.75" hidden="false" customHeight="true" outlineLevel="0" collapsed="false">
      <c r="A158" s="119" t="n">
        <v>153</v>
      </c>
      <c r="B158" s="119" t="s">
        <v>822</v>
      </c>
      <c r="C158" s="119" t="s">
        <v>36</v>
      </c>
      <c r="D158" s="119" t="s">
        <v>1049</v>
      </c>
      <c r="E158" s="119" t="s">
        <v>836</v>
      </c>
      <c r="F158" s="119" t="s">
        <v>1050</v>
      </c>
      <c r="G158" s="119" t="s">
        <v>981</v>
      </c>
      <c r="H158" s="119" t="s">
        <v>213</v>
      </c>
      <c r="I158" s="119" t="s">
        <v>984</v>
      </c>
      <c r="J158" s="119" t="s">
        <v>838</v>
      </c>
    </row>
    <row r="159" customFormat="false" ht="27.75" hidden="false" customHeight="true" outlineLevel="0" collapsed="false">
      <c r="A159" s="119" t="n">
        <v>154</v>
      </c>
      <c r="B159" s="119" t="s">
        <v>822</v>
      </c>
      <c r="C159" s="119" t="s">
        <v>36</v>
      </c>
      <c r="D159" s="119" t="s">
        <v>1051</v>
      </c>
      <c r="E159" s="119" t="s">
        <v>836</v>
      </c>
      <c r="F159" s="119" t="s">
        <v>1052</v>
      </c>
      <c r="G159" s="119" t="s">
        <v>981</v>
      </c>
      <c r="H159" s="119" t="s">
        <v>213</v>
      </c>
      <c r="I159" s="119" t="s">
        <v>984</v>
      </c>
      <c r="J159" s="119" t="s">
        <v>838</v>
      </c>
    </row>
    <row r="160" customFormat="false" ht="27.75" hidden="false" customHeight="true" outlineLevel="0" collapsed="false">
      <c r="A160" s="119" t="n">
        <v>155</v>
      </c>
      <c r="B160" s="119" t="s">
        <v>822</v>
      </c>
      <c r="C160" s="119" t="s">
        <v>36</v>
      </c>
      <c r="D160" s="119" t="s">
        <v>1053</v>
      </c>
      <c r="E160" s="119" t="s">
        <v>836</v>
      </c>
      <c r="F160" s="119" t="s">
        <v>1054</v>
      </c>
      <c r="G160" s="119" t="s">
        <v>981</v>
      </c>
      <c r="H160" s="119" t="s">
        <v>213</v>
      </c>
      <c r="I160" s="119" t="s">
        <v>984</v>
      </c>
      <c r="J160" s="119" t="s">
        <v>838</v>
      </c>
    </row>
    <row r="161" customFormat="false" ht="27.75" hidden="false" customHeight="true" outlineLevel="0" collapsed="false">
      <c r="A161" s="119" t="n">
        <v>156</v>
      </c>
      <c r="B161" s="119" t="s">
        <v>822</v>
      </c>
      <c r="C161" s="119" t="s">
        <v>36</v>
      </c>
      <c r="D161" s="119" t="s">
        <v>1055</v>
      </c>
      <c r="E161" s="119" t="s">
        <v>836</v>
      </c>
      <c r="F161" s="119" t="s">
        <v>1056</v>
      </c>
      <c r="G161" s="119" t="s">
        <v>981</v>
      </c>
      <c r="H161" s="119" t="s">
        <v>213</v>
      </c>
      <c r="I161" s="119" t="s">
        <v>984</v>
      </c>
      <c r="J161" s="119" t="s">
        <v>838</v>
      </c>
    </row>
    <row r="162" customFormat="false" ht="27.75" hidden="false" customHeight="true" outlineLevel="0" collapsed="false">
      <c r="A162" s="119" t="n">
        <v>157</v>
      </c>
      <c r="B162" s="119" t="s">
        <v>822</v>
      </c>
      <c r="C162" s="119" t="s">
        <v>36</v>
      </c>
      <c r="D162" s="119" t="s">
        <v>1057</v>
      </c>
      <c r="E162" s="119" t="s">
        <v>836</v>
      </c>
      <c r="F162" s="119" t="s">
        <v>1058</v>
      </c>
      <c r="G162" s="119" t="s">
        <v>981</v>
      </c>
      <c r="H162" s="119" t="s">
        <v>213</v>
      </c>
      <c r="I162" s="119" t="s">
        <v>984</v>
      </c>
      <c r="J162" s="119" t="s">
        <v>838</v>
      </c>
    </row>
    <row r="163" customFormat="false" ht="15" hidden="false" customHeight="true" outlineLevel="0" collapsed="false">
      <c r="A163" s="119" t="n">
        <v>158</v>
      </c>
      <c r="B163" s="119" t="s">
        <v>822</v>
      </c>
      <c r="C163" s="119" t="s">
        <v>36</v>
      </c>
      <c r="D163" s="119" t="s">
        <v>1059</v>
      </c>
      <c r="E163" s="119" t="s">
        <v>836</v>
      </c>
      <c r="F163" s="119" t="s">
        <v>291</v>
      </c>
      <c r="G163" s="119" t="s">
        <v>981</v>
      </c>
      <c r="H163" s="119" t="s">
        <v>213</v>
      </c>
      <c r="I163" s="119" t="s">
        <v>668</v>
      </c>
      <c r="J163" s="119" t="s">
        <v>838</v>
      </c>
    </row>
    <row r="164" customFormat="false" ht="27.75" hidden="false" customHeight="true" outlineLevel="0" collapsed="false">
      <c r="A164" s="119" t="n">
        <v>159</v>
      </c>
      <c r="B164" s="119" t="s">
        <v>822</v>
      </c>
      <c r="C164" s="119" t="s">
        <v>36</v>
      </c>
      <c r="D164" s="119" t="s">
        <v>1060</v>
      </c>
      <c r="E164" s="119" t="s">
        <v>836</v>
      </c>
      <c r="F164" s="119" t="s">
        <v>1061</v>
      </c>
      <c r="G164" s="119" t="s">
        <v>981</v>
      </c>
      <c r="H164" s="119" t="s">
        <v>213</v>
      </c>
      <c r="I164" s="119" t="s">
        <v>984</v>
      </c>
      <c r="J164" s="119" t="s">
        <v>838</v>
      </c>
    </row>
    <row r="165" customFormat="false" ht="27.75" hidden="false" customHeight="true" outlineLevel="0" collapsed="false">
      <c r="A165" s="119" t="n">
        <v>160</v>
      </c>
      <c r="B165" s="119" t="s">
        <v>822</v>
      </c>
      <c r="C165" s="119" t="s">
        <v>36</v>
      </c>
      <c r="D165" s="119" t="s">
        <v>1062</v>
      </c>
      <c r="E165" s="119" t="s">
        <v>836</v>
      </c>
      <c r="F165" s="119" t="s">
        <v>1063</v>
      </c>
      <c r="G165" s="119" t="s">
        <v>981</v>
      </c>
      <c r="H165" s="119" t="s">
        <v>213</v>
      </c>
      <c r="I165" s="119" t="s">
        <v>984</v>
      </c>
      <c r="J165" s="119" t="s">
        <v>838</v>
      </c>
    </row>
    <row r="166" customFormat="false" ht="27.75" hidden="false" customHeight="true" outlineLevel="0" collapsed="false">
      <c r="A166" s="119" t="n">
        <v>161</v>
      </c>
      <c r="B166" s="119" t="s">
        <v>822</v>
      </c>
      <c r="C166" s="119" t="s">
        <v>36</v>
      </c>
      <c r="D166" s="119" t="s">
        <v>1064</v>
      </c>
      <c r="E166" s="119" t="s">
        <v>836</v>
      </c>
      <c r="F166" s="119" t="s">
        <v>1065</v>
      </c>
      <c r="G166" s="119" t="s">
        <v>981</v>
      </c>
      <c r="H166" s="119" t="s">
        <v>213</v>
      </c>
      <c r="I166" s="119" t="s">
        <v>984</v>
      </c>
      <c r="J166" s="119" t="s">
        <v>838</v>
      </c>
    </row>
    <row r="167" customFormat="false" ht="27.75" hidden="false" customHeight="true" outlineLevel="0" collapsed="false">
      <c r="A167" s="119" t="n">
        <v>162</v>
      </c>
      <c r="B167" s="119" t="s">
        <v>822</v>
      </c>
      <c r="C167" s="119" t="s">
        <v>36</v>
      </c>
      <c r="D167" s="119" t="s">
        <v>1066</v>
      </c>
      <c r="E167" s="119" t="s">
        <v>836</v>
      </c>
      <c r="F167" s="119" t="s">
        <v>1067</v>
      </c>
      <c r="G167" s="119" t="s">
        <v>981</v>
      </c>
      <c r="H167" s="119" t="s">
        <v>213</v>
      </c>
      <c r="I167" s="119" t="s">
        <v>984</v>
      </c>
      <c r="J167" s="119" t="s">
        <v>838</v>
      </c>
    </row>
    <row r="168" customFormat="false" ht="27.75" hidden="false" customHeight="true" outlineLevel="0" collapsed="false">
      <c r="A168" s="119" t="n">
        <v>163</v>
      </c>
      <c r="B168" s="119" t="s">
        <v>822</v>
      </c>
      <c r="C168" s="119" t="s">
        <v>36</v>
      </c>
      <c r="D168" s="119" t="s">
        <v>1068</v>
      </c>
      <c r="E168" s="119" t="s">
        <v>836</v>
      </c>
      <c r="F168" s="119" t="s">
        <v>1069</v>
      </c>
      <c r="G168" s="119" t="s">
        <v>981</v>
      </c>
      <c r="H168" s="119" t="s">
        <v>213</v>
      </c>
      <c r="I168" s="119" t="s">
        <v>984</v>
      </c>
      <c r="J168" s="119" t="s">
        <v>838</v>
      </c>
    </row>
    <row r="169" customFormat="false" ht="79.5" hidden="false" customHeight="true" outlineLevel="0" collapsed="false">
      <c r="A169" s="119" t="n">
        <v>164</v>
      </c>
      <c r="B169" s="119" t="s">
        <v>822</v>
      </c>
      <c r="C169" s="119" t="s">
        <v>36</v>
      </c>
      <c r="D169" s="119" t="s">
        <v>1070</v>
      </c>
      <c r="E169" s="119" t="s">
        <v>836</v>
      </c>
      <c r="F169" s="119" t="s">
        <v>1071</v>
      </c>
      <c r="G169" s="119" t="s">
        <v>1072</v>
      </c>
      <c r="H169" s="119" t="s">
        <v>827</v>
      </c>
      <c r="I169" s="119" t="s">
        <v>668</v>
      </c>
      <c r="J169" s="119" t="s">
        <v>838</v>
      </c>
    </row>
    <row r="170" customFormat="false" ht="54" hidden="false" customHeight="true" outlineLevel="0" collapsed="false">
      <c r="A170" s="119" t="n">
        <v>165</v>
      </c>
      <c r="B170" s="119" t="s">
        <v>822</v>
      </c>
      <c r="C170" s="119" t="s">
        <v>36</v>
      </c>
      <c r="D170" s="119" t="s">
        <v>1073</v>
      </c>
      <c r="E170" s="119" t="s">
        <v>836</v>
      </c>
      <c r="F170" s="119" t="s">
        <v>292</v>
      </c>
      <c r="G170" s="119" t="s">
        <v>1074</v>
      </c>
      <c r="H170" s="119" t="s">
        <v>827</v>
      </c>
      <c r="I170" s="119" t="s">
        <v>668</v>
      </c>
      <c r="J170" s="119" t="s">
        <v>838</v>
      </c>
    </row>
    <row r="171" customFormat="false" ht="93" hidden="false" customHeight="true" outlineLevel="0" collapsed="false">
      <c r="A171" s="119" t="n">
        <v>166</v>
      </c>
      <c r="B171" s="119" t="s">
        <v>822</v>
      </c>
      <c r="C171" s="119" t="s">
        <v>54</v>
      </c>
      <c r="D171" s="119" t="s">
        <v>1004</v>
      </c>
      <c r="E171" s="119" t="s">
        <v>836</v>
      </c>
      <c r="F171" s="119" t="s">
        <v>543</v>
      </c>
      <c r="G171" s="119" t="s">
        <v>1075</v>
      </c>
      <c r="H171" s="119" t="s">
        <v>827</v>
      </c>
      <c r="I171" s="119" t="s">
        <v>668</v>
      </c>
      <c r="J171" s="119" t="s">
        <v>838</v>
      </c>
    </row>
    <row r="172" customFormat="false" ht="40.5" hidden="false" customHeight="true" outlineLevel="0" collapsed="false">
      <c r="A172" s="119" t="n">
        <v>167</v>
      </c>
      <c r="B172" s="119" t="s">
        <v>822</v>
      </c>
      <c r="C172" s="119" t="s">
        <v>54</v>
      </c>
      <c r="D172" s="119" t="s">
        <v>1026</v>
      </c>
      <c r="E172" s="119" t="s">
        <v>836</v>
      </c>
      <c r="F172" s="119" t="s">
        <v>544</v>
      </c>
      <c r="G172" s="119" t="s">
        <v>1076</v>
      </c>
      <c r="H172" s="119" t="s">
        <v>213</v>
      </c>
      <c r="I172" s="119" t="s">
        <v>668</v>
      </c>
      <c r="J172" s="119" t="s">
        <v>838</v>
      </c>
    </row>
    <row r="173" customFormat="false" ht="118.5" hidden="false" customHeight="true" outlineLevel="0" collapsed="false">
      <c r="A173" s="119" t="n">
        <v>168</v>
      </c>
      <c r="B173" s="119" t="s">
        <v>822</v>
      </c>
      <c r="C173" s="119" t="s">
        <v>54</v>
      </c>
      <c r="D173" s="119" t="s">
        <v>1037</v>
      </c>
      <c r="E173" s="119" t="s">
        <v>836</v>
      </c>
      <c r="F173" s="119" t="s">
        <v>545</v>
      </c>
      <c r="G173" s="119" t="s">
        <v>1077</v>
      </c>
      <c r="H173" s="119" t="s">
        <v>213</v>
      </c>
      <c r="I173" s="119" t="s">
        <v>668</v>
      </c>
      <c r="J173" s="119" t="s">
        <v>838</v>
      </c>
    </row>
    <row r="174" customFormat="false" ht="15" hidden="false" customHeight="true" outlineLevel="0" collapsed="false">
      <c r="A174" s="119" t="n">
        <v>169</v>
      </c>
      <c r="B174" s="119" t="s">
        <v>822</v>
      </c>
      <c r="C174" s="119" t="s">
        <v>54</v>
      </c>
      <c r="D174" s="119" t="s">
        <v>1048</v>
      </c>
      <c r="E174" s="119" t="s">
        <v>836</v>
      </c>
      <c r="F174" s="119" t="s">
        <v>375</v>
      </c>
      <c r="G174" s="119" t="s">
        <v>1078</v>
      </c>
      <c r="H174" s="119" t="s">
        <v>213</v>
      </c>
      <c r="I174" s="119" t="s">
        <v>668</v>
      </c>
      <c r="J174" s="119" t="s">
        <v>838</v>
      </c>
    </row>
    <row r="175" customFormat="false" ht="15" hidden="false" customHeight="true" outlineLevel="0" collapsed="false">
      <c r="A175" s="119" t="n">
        <v>170</v>
      </c>
      <c r="B175" s="119" t="s">
        <v>822</v>
      </c>
      <c r="C175" s="119" t="s">
        <v>54</v>
      </c>
      <c r="D175" s="119" t="s">
        <v>1049</v>
      </c>
      <c r="E175" s="119" t="s">
        <v>836</v>
      </c>
      <c r="F175" s="119" t="s">
        <v>546</v>
      </c>
      <c r="G175" s="119" t="s">
        <v>1078</v>
      </c>
      <c r="H175" s="119" t="s">
        <v>213</v>
      </c>
      <c r="I175" s="119" t="s">
        <v>668</v>
      </c>
      <c r="J175" s="119" t="s">
        <v>838</v>
      </c>
    </row>
    <row r="176" customFormat="false" ht="15" hidden="false" customHeight="true" outlineLevel="0" collapsed="false">
      <c r="A176" s="119" t="n">
        <v>171</v>
      </c>
      <c r="B176" s="119" t="s">
        <v>822</v>
      </c>
      <c r="C176" s="119" t="s">
        <v>54</v>
      </c>
      <c r="D176" s="119" t="s">
        <v>1051</v>
      </c>
      <c r="E176" s="119" t="s">
        <v>836</v>
      </c>
      <c r="F176" s="119" t="s">
        <v>547</v>
      </c>
      <c r="G176" s="119" t="s">
        <v>1078</v>
      </c>
      <c r="H176" s="119" t="s">
        <v>213</v>
      </c>
      <c r="I176" s="119" t="s">
        <v>668</v>
      </c>
      <c r="J176" s="119" t="s">
        <v>838</v>
      </c>
    </row>
    <row r="177" customFormat="false" ht="15" hidden="false" customHeight="true" outlineLevel="0" collapsed="false">
      <c r="A177" s="119" t="n">
        <v>172</v>
      </c>
      <c r="B177" s="119" t="s">
        <v>822</v>
      </c>
      <c r="C177" s="119" t="s">
        <v>54</v>
      </c>
      <c r="D177" s="119" t="s">
        <v>1053</v>
      </c>
      <c r="E177" s="119" t="s">
        <v>836</v>
      </c>
      <c r="F177" s="119" t="s">
        <v>548</v>
      </c>
      <c r="G177" s="119" t="s">
        <v>1078</v>
      </c>
      <c r="H177" s="119" t="s">
        <v>213</v>
      </c>
      <c r="I177" s="119" t="s">
        <v>668</v>
      </c>
      <c r="J177" s="119" t="s">
        <v>838</v>
      </c>
    </row>
    <row r="178" customFormat="false" ht="15" hidden="false" customHeight="true" outlineLevel="0" collapsed="false">
      <c r="A178" s="119" t="n">
        <v>173</v>
      </c>
      <c r="B178" s="119" t="s">
        <v>822</v>
      </c>
      <c r="C178" s="119" t="s">
        <v>54</v>
      </c>
      <c r="D178" s="119" t="s">
        <v>1055</v>
      </c>
      <c r="E178" s="119" t="s">
        <v>836</v>
      </c>
      <c r="F178" s="119" t="s">
        <v>549</v>
      </c>
      <c r="G178" s="119" t="s">
        <v>1078</v>
      </c>
      <c r="H178" s="119" t="s">
        <v>213</v>
      </c>
      <c r="I178" s="119" t="s">
        <v>668</v>
      </c>
      <c r="J178" s="119" t="s">
        <v>838</v>
      </c>
    </row>
    <row r="179" customFormat="false" ht="15" hidden="false" customHeight="true" outlineLevel="0" collapsed="false">
      <c r="A179" s="119" t="n">
        <v>174</v>
      </c>
      <c r="B179" s="119" t="s">
        <v>822</v>
      </c>
      <c r="C179" s="119" t="s">
        <v>54</v>
      </c>
      <c r="D179" s="119" t="s">
        <v>1057</v>
      </c>
      <c r="E179" s="119" t="s">
        <v>836</v>
      </c>
      <c r="F179" s="119" t="s">
        <v>550</v>
      </c>
      <c r="G179" s="119" t="s">
        <v>1078</v>
      </c>
      <c r="H179" s="119" t="s">
        <v>213</v>
      </c>
      <c r="I179" s="119" t="s">
        <v>668</v>
      </c>
      <c r="J179" s="119" t="s">
        <v>838</v>
      </c>
    </row>
    <row r="180" customFormat="false" ht="27.75" hidden="false" customHeight="true" outlineLevel="0" collapsed="false">
      <c r="A180" s="119" t="n">
        <v>175</v>
      </c>
      <c r="B180" s="119" t="s">
        <v>822</v>
      </c>
      <c r="C180" s="119" t="s">
        <v>54</v>
      </c>
      <c r="D180" s="119" t="s">
        <v>1079</v>
      </c>
      <c r="E180" s="119" t="s">
        <v>836</v>
      </c>
      <c r="F180" s="119" t="s">
        <v>551</v>
      </c>
      <c r="G180" s="119" t="s">
        <v>1078</v>
      </c>
      <c r="H180" s="119" t="s">
        <v>213</v>
      </c>
      <c r="I180" s="119" t="s">
        <v>668</v>
      </c>
      <c r="J180" s="119" t="s">
        <v>838</v>
      </c>
    </row>
    <row r="181" customFormat="false" ht="15" hidden="false" customHeight="true" outlineLevel="0" collapsed="false">
      <c r="A181" s="119" t="n">
        <v>176</v>
      </c>
      <c r="B181" s="119" t="s">
        <v>822</v>
      </c>
      <c r="C181" s="119" t="s">
        <v>54</v>
      </c>
      <c r="D181" s="119" t="s">
        <v>1059</v>
      </c>
      <c r="E181" s="119" t="s">
        <v>836</v>
      </c>
      <c r="F181" s="119" t="s">
        <v>239</v>
      </c>
      <c r="G181" s="119" t="s">
        <v>1080</v>
      </c>
      <c r="H181" s="119" t="s">
        <v>213</v>
      </c>
      <c r="I181" s="119" t="s">
        <v>668</v>
      </c>
      <c r="J181" s="119" t="s">
        <v>838</v>
      </c>
    </row>
    <row r="182" customFormat="false" ht="15" hidden="false" customHeight="true" outlineLevel="0" collapsed="false">
      <c r="A182" s="119" t="n">
        <v>177</v>
      </c>
      <c r="B182" s="119" t="s">
        <v>822</v>
      </c>
      <c r="C182" s="119" t="s">
        <v>54</v>
      </c>
      <c r="D182" s="119" t="s">
        <v>1060</v>
      </c>
      <c r="E182" s="119" t="s">
        <v>836</v>
      </c>
      <c r="F182" s="119" t="n">
        <v>0</v>
      </c>
      <c r="G182" s="119" t="s">
        <v>1080</v>
      </c>
      <c r="H182" s="119" t="s">
        <v>213</v>
      </c>
      <c r="I182" s="119" t="s">
        <v>668</v>
      </c>
      <c r="J182" s="119" t="s">
        <v>838</v>
      </c>
    </row>
    <row r="183" customFormat="false" ht="15" hidden="false" customHeight="true" outlineLevel="0" collapsed="false">
      <c r="A183" s="119" t="n">
        <v>178</v>
      </c>
      <c r="B183" s="119" t="s">
        <v>822</v>
      </c>
      <c r="C183" s="119" t="s">
        <v>54</v>
      </c>
      <c r="D183" s="119" t="s">
        <v>1062</v>
      </c>
      <c r="E183" s="119" t="s">
        <v>836</v>
      </c>
      <c r="F183" s="119" t="n">
        <v>0</v>
      </c>
      <c r="G183" s="119" t="s">
        <v>1080</v>
      </c>
      <c r="H183" s="119" t="s">
        <v>213</v>
      </c>
      <c r="I183" s="119" t="s">
        <v>668</v>
      </c>
      <c r="J183" s="119" t="s">
        <v>838</v>
      </c>
    </row>
    <row r="184" customFormat="false" ht="15" hidden="false" customHeight="true" outlineLevel="0" collapsed="false">
      <c r="A184" s="119" t="n">
        <v>179</v>
      </c>
      <c r="B184" s="119" t="s">
        <v>822</v>
      </c>
      <c r="C184" s="119" t="s">
        <v>54</v>
      </c>
      <c r="D184" s="119" t="s">
        <v>1064</v>
      </c>
      <c r="E184" s="119" t="s">
        <v>836</v>
      </c>
      <c r="F184" s="119" t="n">
        <v>2</v>
      </c>
      <c r="G184" s="119" t="s">
        <v>1080</v>
      </c>
      <c r="H184" s="119" t="s">
        <v>213</v>
      </c>
      <c r="I184" s="119" t="s">
        <v>668</v>
      </c>
      <c r="J184" s="119" t="s">
        <v>838</v>
      </c>
    </row>
    <row r="185" customFormat="false" ht="15" hidden="false" customHeight="true" outlineLevel="0" collapsed="false">
      <c r="A185" s="119" t="n">
        <v>180</v>
      </c>
      <c r="B185" s="119" t="s">
        <v>822</v>
      </c>
      <c r="C185" s="119" t="s">
        <v>54</v>
      </c>
      <c r="D185" s="119" t="s">
        <v>1066</v>
      </c>
      <c r="E185" s="119" t="s">
        <v>836</v>
      </c>
      <c r="F185" s="119" t="n">
        <v>1</v>
      </c>
      <c r="G185" s="119" t="s">
        <v>1080</v>
      </c>
      <c r="H185" s="119" t="s">
        <v>213</v>
      </c>
      <c r="I185" s="119" t="s">
        <v>668</v>
      </c>
      <c r="J185" s="119" t="s">
        <v>838</v>
      </c>
    </row>
    <row r="186" customFormat="false" ht="15" hidden="false" customHeight="true" outlineLevel="0" collapsed="false">
      <c r="A186" s="119" t="n">
        <v>181</v>
      </c>
      <c r="B186" s="119" t="s">
        <v>822</v>
      </c>
      <c r="C186" s="119" t="s">
        <v>54</v>
      </c>
      <c r="D186" s="119" t="s">
        <v>1068</v>
      </c>
      <c r="E186" s="119" t="s">
        <v>836</v>
      </c>
      <c r="F186" s="119" t="n">
        <v>2</v>
      </c>
      <c r="G186" s="119" t="s">
        <v>1080</v>
      </c>
      <c r="H186" s="119" t="s">
        <v>213</v>
      </c>
      <c r="I186" s="119" t="s">
        <v>668</v>
      </c>
      <c r="J186" s="119" t="s">
        <v>838</v>
      </c>
    </row>
    <row r="187" customFormat="false" ht="15" hidden="false" customHeight="true" outlineLevel="0" collapsed="false">
      <c r="A187" s="119" t="n">
        <v>182</v>
      </c>
      <c r="B187" s="119" t="s">
        <v>822</v>
      </c>
      <c r="C187" s="119" t="s">
        <v>54</v>
      </c>
      <c r="D187" s="119" t="s">
        <v>1081</v>
      </c>
      <c r="E187" s="119" t="s">
        <v>836</v>
      </c>
      <c r="F187" s="119" t="n">
        <v>2</v>
      </c>
      <c r="G187" s="119" t="s">
        <v>1080</v>
      </c>
      <c r="H187" s="119" t="s">
        <v>213</v>
      </c>
      <c r="I187" s="119" t="s">
        <v>668</v>
      </c>
      <c r="J187" s="119" t="s">
        <v>838</v>
      </c>
    </row>
    <row r="188" customFormat="false" ht="15" hidden="false" customHeight="true" outlineLevel="0" collapsed="false">
      <c r="A188" s="119" t="n">
        <v>183</v>
      </c>
      <c r="B188" s="119" t="s">
        <v>822</v>
      </c>
      <c r="C188" s="119" t="s">
        <v>54</v>
      </c>
      <c r="D188" s="119" t="s">
        <v>1070</v>
      </c>
      <c r="E188" s="119" t="s">
        <v>836</v>
      </c>
      <c r="F188" s="119" t="s">
        <v>552</v>
      </c>
      <c r="G188" s="119" t="s">
        <v>1080</v>
      </c>
      <c r="H188" s="119" t="s">
        <v>213</v>
      </c>
      <c r="I188" s="119" t="s">
        <v>668</v>
      </c>
      <c r="J188" s="119" t="s">
        <v>838</v>
      </c>
    </row>
    <row r="189" customFormat="false" ht="15" hidden="false" customHeight="true" outlineLevel="0" collapsed="false">
      <c r="A189" s="119" t="n">
        <v>184</v>
      </c>
      <c r="B189" s="119" t="s">
        <v>822</v>
      </c>
      <c r="C189" s="119" t="s">
        <v>54</v>
      </c>
      <c r="D189" s="119" t="s">
        <v>839</v>
      </c>
      <c r="E189" s="119" t="s">
        <v>836</v>
      </c>
      <c r="F189" s="119" t="n">
        <v>0</v>
      </c>
      <c r="G189" s="119" t="s">
        <v>1080</v>
      </c>
      <c r="H189" s="119" t="s">
        <v>213</v>
      </c>
      <c r="I189" s="119" t="s">
        <v>668</v>
      </c>
      <c r="J189" s="119" t="s">
        <v>838</v>
      </c>
    </row>
    <row r="190" customFormat="false" ht="15" hidden="false" customHeight="true" outlineLevel="0" collapsed="false">
      <c r="A190" s="119" t="n">
        <v>185</v>
      </c>
      <c r="B190" s="119" t="s">
        <v>822</v>
      </c>
      <c r="C190" s="119" t="s">
        <v>54</v>
      </c>
      <c r="D190" s="119" t="s">
        <v>1082</v>
      </c>
      <c r="E190" s="119" t="s">
        <v>836</v>
      </c>
      <c r="F190" s="119" t="n">
        <v>0</v>
      </c>
      <c r="G190" s="119" t="s">
        <v>1080</v>
      </c>
      <c r="H190" s="119" t="s">
        <v>213</v>
      </c>
      <c r="I190" s="119" t="s">
        <v>668</v>
      </c>
      <c r="J190" s="119" t="s">
        <v>838</v>
      </c>
    </row>
    <row r="191" customFormat="false" ht="15" hidden="false" customHeight="true" outlineLevel="0" collapsed="false">
      <c r="A191" s="119" t="n">
        <v>186</v>
      </c>
      <c r="B191" s="119" t="s">
        <v>822</v>
      </c>
      <c r="C191" s="119" t="s">
        <v>54</v>
      </c>
      <c r="D191" s="119" t="s">
        <v>1083</v>
      </c>
      <c r="E191" s="119" t="s">
        <v>836</v>
      </c>
      <c r="F191" s="119" t="n">
        <v>0.5</v>
      </c>
      <c r="G191" s="119" t="s">
        <v>1080</v>
      </c>
      <c r="H191" s="119" t="s">
        <v>213</v>
      </c>
      <c r="I191" s="119" t="s">
        <v>668</v>
      </c>
      <c r="J191" s="119" t="s">
        <v>838</v>
      </c>
    </row>
    <row r="192" customFormat="false" ht="15" hidden="false" customHeight="true" outlineLevel="0" collapsed="false">
      <c r="A192" s="119" t="n">
        <v>187</v>
      </c>
      <c r="B192" s="119" t="s">
        <v>822</v>
      </c>
      <c r="C192" s="119" t="s">
        <v>54</v>
      </c>
      <c r="D192" s="119" t="s">
        <v>1084</v>
      </c>
      <c r="E192" s="119" t="s">
        <v>836</v>
      </c>
      <c r="F192" s="119" t="n">
        <v>1</v>
      </c>
      <c r="G192" s="119" t="s">
        <v>1080</v>
      </c>
      <c r="H192" s="119" t="s">
        <v>213</v>
      </c>
      <c r="I192" s="119" t="s">
        <v>668</v>
      </c>
      <c r="J192" s="119" t="s">
        <v>838</v>
      </c>
    </row>
    <row r="193" customFormat="false" ht="15" hidden="false" customHeight="true" outlineLevel="0" collapsed="false">
      <c r="A193" s="119" t="n">
        <v>188</v>
      </c>
      <c r="B193" s="119" t="s">
        <v>822</v>
      </c>
      <c r="C193" s="119" t="s">
        <v>54</v>
      </c>
      <c r="D193" s="119" t="s">
        <v>1085</v>
      </c>
      <c r="E193" s="119" t="s">
        <v>836</v>
      </c>
      <c r="F193" s="119" t="n">
        <v>1</v>
      </c>
      <c r="G193" s="119" t="s">
        <v>1080</v>
      </c>
      <c r="H193" s="119" t="s">
        <v>213</v>
      </c>
      <c r="I193" s="119" t="s">
        <v>668</v>
      </c>
      <c r="J193" s="119" t="s">
        <v>838</v>
      </c>
    </row>
    <row r="194" customFormat="false" ht="15" hidden="false" customHeight="true" outlineLevel="0" collapsed="false">
      <c r="A194" s="119" t="n">
        <v>189</v>
      </c>
      <c r="B194" s="119" t="s">
        <v>822</v>
      </c>
      <c r="C194" s="119" t="s">
        <v>54</v>
      </c>
      <c r="D194" s="119" t="s">
        <v>1086</v>
      </c>
      <c r="E194" s="119" t="s">
        <v>836</v>
      </c>
      <c r="F194" s="119" t="n">
        <v>0.5</v>
      </c>
      <c r="G194" s="119" t="s">
        <v>1080</v>
      </c>
      <c r="H194" s="119" t="s">
        <v>213</v>
      </c>
      <c r="I194" s="119" t="s">
        <v>668</v>
      </c>
      <c r="J194" s="119" t="s">
        <v>838</v>
      </c>
    </row>
    <row r="195" customFormat="false" ht="15" hidden="false" customHeight="true" outlineLevel="0" collapsed="false">
      <c r="A195" s="119" t="n">
        <v>190</v>
      </c>
      <c r="B195" s="119" t="s">
        <v>822</v>
      </c>
      <c r="C195" s="119" t="s">
        <v>54</v>
      </c>
      <c r="D195" s="119" t="s">
        <v>1073</v>
      </c>
      <c r="E195" s="119" t="s">
        <v>836</v>
      </c>
      <c r="F195" s="119" t="s">
        <v>242</v>
      </c>
      <c r="G195" s="119" t="s">
        <v>1080</v>
      </c>
      <c r="H195" s="119" t="s">
        <v>213</v>
      </c>
      <c r="I195" s="119" t="s">
        <v>668</v>
      </c>
      <c r="J195" s="119" t="s">
        <v>838</v>
      </c>
    </row>
    <row r="196" customFormat="false" ht="15" hidden="false" customHeight="true" outlineLevel="0" collapsed="false">
      <c r="A196" s="119" t="n">
        <v>191</v>
      </c>
      <c r="B196" s="119" t="s">
        <v>822</v>
      </c>
      <c r="C196" s="119" t="s">
        <v>54</v>
      </c>
      <c r="D196" s="119" t="s">
        <v>1087</v>
      </c>
      <c r="E196" s="119" t="s">
        <v>836</v>
      </c>
      <c r="F196" s="119" t="n">
        <v>0</v>
      </c>
      <c r="G196" s="119" t="s">
        <v>1080</v>
      </c>
      <c r="H196" s="119" t="s">
        <v>213</v>
      </c>
      <c r="I196" s="119" t="s">
        <v>668</v>
      </c>
      <c r="J196" s="119" t="s">
        <v>838</v>
      </c>
    </row>
    <row r="197" customFormat="false" ht="15" hidden="false" customHeight="true" outlineLevel="0" collapsed="false">
      <c r="A197" s="119" t="n">
        <v>192</v>
      </c>
      <c r="B197" s="119" t="s">
        <v>822</v>
      </c>
      <c r="C197" s="119" t="s">
        <v>54</v>
      </c>
      <c r="D197" s="119" t="s">
        <v>1088</v>
      </c>
      <c r="E197" s="119" t="s">
        <v>836</v>
      </c>
      <c r="F197" s="119" t="n">
        <v>0</v>
      </c>
      <c r="G197" s="119" t="s">
        <v>1080</v>
      </c>
      <c r="H197" s="119" t="s">
        <v>213</v>
      </c>
      <c r="I197" s="119" t="s">
        <v>668</v>
      </c>
      <c r="J197" s="119" t="s">
        <v>838</v>
      </c>
    </row>
    <row r="198" customFormat="false" ht="15" hidden="false" customHeight="true" outlineLevel="0" collapsed="false">
      <c r="A198" s="119" t="n">
        <v>193</v>
      </c>
      <c r="B198" s="119" t="s">
        <v>822</v>
      </c>
      <c r="C198" s="119" t="s">
        <v>54</v>
      </c>
      <c r="D198" s="119" t="s">
        <v>1089</v>
      </c>
      <c r="E198" s="119" t="s">
        <v>836</v>
      </c>
      <c r="F198" s="119" t="n">
        <v>0</v>
      </c>
      <c r="G198" s="119" t="s">
        <v>1080</v>
      </c>
      <c r="H198" s="119" t="s">
        <v>213</v>
      </c>
      <c r="I198" s="119" t="s">
        <v>668</v>
      </c>
      <c r="J198" s="119" t="s">
        <v>838</v>
      </c>
    </row>
    <row r="199" customFormat="false" ht="15" hidden="false" customHeight="true" outlineLevel="0" collapsed="false">
      <c r="A199" s="119" t="n">
        <v>194</v>
      </c>
      <c r="B199" s="119" t="s">
        <v>822</v>
      </c>
      <c r="C199" s="119" t="s">
        <v>54</v>
      </c>
      <c r="D199" s="119" t="s">
        <v>1090</v>
      </c>
      <c r="E199" s="119" t="s">
        <v>836</v>
      </c>
      <c r="F199" s="119" t="n">
        <v>0</v>
      </c>
      <c r="G199" s="119" t="s">
        <v>1080</v>
      </c>
      <c r="H199" s="119" t="s">
        <v>213</v>
      </c>
      <c r="I199" s="119" t="s">
        <v>668</v>
      </c>
      <c r="J199" s="119" t="s">
        <v>838</v>
      </c>
    </row>
    <row r="200" customFormat="false" ht="15" hidden="false" customHeight="true" outlineLevel="0" collapsed="false">
      <c r="A200" s="119" t="n">
        <v>195</v>
      </c>
      <c r="B200" s="119" t="s">
        <v>822</v>
      </c>
      <c r="C200" s="119" t="s">
        <v>54</v>
      </c>
      <c r="D200" s="119" t="s">
        <v>1091</v>
      </c>
      <c r="E200" s="119" t="s">
        <v>836</v>
      </c>
      <c r="F200" s="119" t="n">
        <v>0</v>
      </c>
      <c r="G200" s="119" t="s">
        <v>1080</v>
      </c>
      <c r="H200" s="119" t="s">
        <v>213</v>
      </c>
      <c r="I200" s="119" t="s">
        <v>668</v>
      </c>
      <c r="J200" s="119" t="s">
        <v>838</v>
      </c>
    </row>
    <row r="201" customFormat="false" ht="15" hidden="false" customHeight="true" outlineLevel="0" collapsed="false">
      <c r="A201" s="119" t="n">
        <v>196</v>
      </c>
      <c r="B201" s="119" t="s">
        <v>822</v>
      </c>
      <c r="C201" s="119" t="s">
        <v>54</v>
      </c>
      <c r="D201" s="119" t="s">
        <v>1092</v>
      </c>
      <c r="E201" s="119" t="s">
        <v>836</v>
      </c>
      <c r="F201" s="119" t="n">
        <v>0.5</v>
      </c>
      <c r="G201" s="119" t="s">
        <v>1080</v>
      </c>
      <c r="H201" s="119" t="s">
        <v>213</v>
      </c>
      <c r="I201" s="119" t="s">
        <v>668</v>
      </c>
      <c r="J201" s="119" t="s">
        <v>838</v>
      </c>
    </row>
    <row r="202" customFormat="false" ht="15" hidden="false" customHeight="true" outlineLevel="0" collapsed="false">
      <c r="A202" s="119" t="n">
        <v>197</v>
      </c>
      <c r="B202" s="119" t="s">
        <v>822</v>
      </c>
      <c r="C202" s="119" t="s">
        <v>54</v>
      </c>
      <c r="D202" s="119" t="s">
        <v>1093</v>
      </c>
      <c r="E202" s="119" t="s">
        <v>836</v>
      </c>
      <c r="F202" s="119" t="s">
        <v>553</v>
      </c>
      <c r="G202" s="119" t="s">
        <v>1080</v>
      </c>
      <c r="H202" s="119" t="s">
        <v>213</v>
      </c>
      <c r="I202" s="119" t="s">
        <v>668</v>
      </c>
      <c r="J202" s="119" t="s">
        <v>838</v>
      </c>
    </row>
    <row r="203" customFormat="false" ht="15" hidden="false" customHeight="true" outlineLevel="0" collapsed="false">
      <c r="A203" s="119" t="n">
        <v>198</v>
      </c>
      <c r="B203" s="119" t="s">
        <v>822</v>
      </c>
      <c r="C203" s="119" t="s">
        <v>54</v>
      </c>
      <c r="D203" s="119" t="s">
        <v>841</v>
      </c>
      <c r="E203" s="119" t="s">
        <v>836</v>
      </c>
      <c r="F203" s="119" t="n">
        <v>0</v>
      </c>
      <c r="G203" s="119" t="s">
        <v>1080</v>
      </c>
      <c r="H203" s="119" t="s">
        <v>213</v>
      </c>
      <c r="I203" s="119" t="s">
        <v>668</v>
      </c>
      <c r="J203" s="119" t="s">
        <v>838</v>
      </c>
    </row>
    <row r="204" customFormat="false" ht="15" hidden="false" customHeight="true" outlineLevel="0" collapsed="false">
      <c r="A204" s="119" t="n">
        <v>199</v>
      </c>
      <c r="B204" s="119" t="s">
        <v>822</v>
      </c>
      <c r="C204" s="119" t="s">
        <v>54</v>
      </c>
      <c r="D204" s="119" t="s">
        <v>843</v>
      </c>
      <c r="E204" s="119" t="s">
        <v>836</v>
      </c>
      <c r="F204" s="119" t="n">
        <v>0</v>
      </c>
      <c r="G204" s="119" t="s">
        <v>1080</v>
      </c>
      <c r="H204" s="119" t="s">
        <v>213</v>
      </c>
      <c r="I204" s="119" t="s">
        <v>668</v>
      </c>
      <c r="J204" s="119" t="s">
        <v>838</v>
      </c>
    </row>
    <row r="205" customFormat="false" ht="15" hidden="false" customHeight="true" outlineLevel="0" collapsed="false">
      <c r="A205" s="119" t="n">
        <v>200</v>
      </c>
      <c r="B205" s="119" t="s">
        <v>822</v>
      </c>
      <c r="C205" s="119" t="s">
        <v>54</v>
      </c>
      <c r="D205" s="119" t="s">
        <v>1094</v>
      </c>
      <c r="E205" s="119" t="s">
        <v>836</v>
      </c>
      <c r="F205" s="119" t="n">
        <v>0</v>
      </c>
      <c r="G205" s="119" t="s">
        <v>1080</v>
      </c>
      <c r="H205" s="119" t="s">
        <v>213</v>
      </c>
      <c r="I205" s="119" t="s">
        <v>668</v>
      </c>
      <c r="J205" s="119" t="s">
        <v>838</v>
      </c>
    </row>
    <row r="206" customFormat="false" ht="15" hidden="false" customHeight="true" outlineLevel="0" collapsed="false">
      <c r="A206" s="119" t="n">
        <v>201</v>
      </c>
      <c r="B206" s="119" t="s">
        <v>822</v>
      </c>
      <c r="C206" s="119" t="s">
        <v>54</v>
      </c>
      <c r="D206" s="119" t="s">
        <v>1095</v>
      </c>
      <c r="E206" s="119" t="s">
        <v>836</v>
      </c>
      <c r="F206" s="119" t="n">
        <v>0</v>
      </c>
      <c r="G206" s="119" t="s">
        <v>1080</v>
      </c>
      <c r="H206" s="119" t="s">
        <v>213</v>
      </c>
      <c r="I206" s="119" t="s">
        <v>668</v>
      </c>
      <c r="J206" s="119" t="s">
        <v>838</v>
      </c>
    </row>
    <row r="207" customFormat="false" ht="15" hidden="false" customHeight="true" outlineLevel="0" collapsed="false">
      <c r="A207" s="119" t="n">
        <v>202</v>
      </c>
      <c r="B207" s="119" t="s">
        <v>822</v>
      </c>
      <c r="C207" s="119" t="s">
        <v>54</v>
      </c>
      <c r="D207" s="119" t="s">
        <v>1096</v>
      </c>
      <c r="E207" s="119" t="s">
        <v>836</v>
      </c>
      <c r="F207" s="119" t="n">
        <v>0</v>
      </c>
      <c r="G207" s="119" t="s">
        <v>1080</v>
      </c>
      <c r="H207" s="119" t="s">
        <v>213</v>
      </c>
      <c r="I207" s="119" t="s">
        <v>668</v>
      </c>
      <c r="J207" s="119" t="s">
        <v>838</v>
      </c>
    </row>
    <row r="208" customFormat="false" ht="15" hidden="false" customHeight="true" outlineLevel="0" collapsed="false">
      <c r="A208" s="119" t="n">
        <v>203</v>
      </c>
      <c r="B208" s="119" t="s">
        <v>822</v>
      </c>
      <c r="C208" s="119" t="s">
        <v>54</v>
      </c>
      <c r="D208" s="119" t="s">
        <v>1097</v>
      </c>
      <c r="E208" s="119" t="s">
        <v>836</v>
      </c>
      <c r="F208" s="119" t="n">
        <v>0.1</v>
      </c>
      <c r="G208" s="119" t="s">
        <v>1080</v>
      </c>
      <c r="H208" s="119" t="s">
        <v>213</v>
      </c>
      <c r="I208" s="119" t="s">
        <v>668</v>
      </c>
      <c r="J208" s="119" t="s">
        <v>838</v>
      </c>
    </row>
    <row r="209" customFormat="false" ht="15" hidden="false" customHeight="true" outlineLevel="0" collapsed="false">
      <c r="A209" s="119" t="n">
        <v>204</v>
      </c>
      <c r="B209" s="119" t="s">
        <v>822</v>
      </c>
      <c r="C209" s="119" t="s">
        <v>54</v>
      </c>
      <c r="D209" s="119" t="s">
        <v>1098</v>
      </c>
      <c r="E209" s="119" t="s">
        <v>836</v>
      </c>
      <c r="F209" s="119" t="s">
        <v>554</v>
      </c>
      <c r="G209" s="119" t="s">
        <v>1080</v>
      </c>
      <c r="H209" s="119" t="s">
        <v>213</v>
      </c>
      <c r="I209" s="119" t="s">
        <v>668</v>
      </c>
      <c r="J209" s="119" t="s">
        <v>838</v>
      </c>
    </row>
    <row r="210" customFormat="false" ht="15" hidden="false" customHeight="true" outlineLevel="0" collapsed="false">
      <c r="A210" s="119" t="n">
        <v>205</v>
      </c>
      <c r="B210" s="119" t="s">
        <v>822</v>
      </c>
      <c r="C210" s="119" t="s">
        <v>54</v>
      </c>
      <c r="D210" s="119" t="s">
        <v>844</v>
      </c>
      <c r="E210" s="119" t="s">
        <v>836</v>
      </c>
      <c r="F210" s="119" t="n">
        <v>0</v>
      </c>
      <c r="G210" s="119" t="s">
        <v>1080</v>
      </c>
      <c r="H210" s="119" t="s">
        <v>213</v>
      </c>
      <c r="I210" s="119" t="s">
        <v>668</v>
      </c>
      <c r="J210" s="119" t="s">
        <v>838</v>
      </c>
    </row>
    <row r="211" customFormat="false" ht="15" hidden="false" customHeight="true" outlineLevel="0" collapsed="false">
      <c r="A211" s="119" t="n">
        <v>206</v>
      </c>
      <c r="B211" s="119" t="s">
        <v>822</v>
      </c>
      <c r="C211" s="119" t="s">
        <v>54</v>
      </c>
      <c r="D211" s="119" t="s">
        <v>845</v>
      </c>
      <c r="E211" s="119" t="s">
        <v>836</v>
      </c>
      <c r="F211" s="119" t="n">
        <v>1</v>
      </c>
      <c r="G211" s="119" t="s">
        <v>1080</v>
      </c>
      <c r="H211" s="119" t="s">
        <v>213</v>
      </c>
      <c r="I211" s="119" t="s">
        <v>668</v>
      </c>
      <c r="J211" s="119" t="s">
        <v>838</v>
      </c>
    </row>
    <row r="212" customFormat="false" ht="15" hidden="false" customHeight="true" outlineLevel="0" collapsed="false">
      <c r="A212" s="119" t="n">
        <v>207</v>
      </c>
      <c r="B212" s="119" t="s">
        <v>822</v>
      </c>
      <c r="C212" s="119" t="s">
        <v>54</v>
      </c>
      <c r="D212" s="119" t="s">
        <v>1099</v>
      </c>
      <c r="E212" s="119" t="s">
        <v>836</v>
      </c>
      <c r="F212" s="119" t="n">
        <v>0</v>
      </c>
      <c r="G212" s="119" t="s">
        <v>1080</v>
      </c>
      <c r="H212" s="119" t="s">
        <v>213</v>
      </c>
      <c r="I212" s="119" t="s">
        <v>668</v>
      </c>
      <c r="J212" s="119" t="s">
        <v>838</v>
      </c>
    </row>
    <row r="213" customFormat="false" ht="15" hidden="false" customHeight="true" outlineLevel="0" collapsed="false">
      <c r="A213" s="119" t="n">
        <v>208</v>
      </c>
      <c r="B213" s="119" t="s">
        <v>822</v>
      </c>
      <c r="C213" s="119" t="s">
        <v>54</v>
      </c>
      <c r="D213" s="119" t="s">
        <v>1100</v>
      </c>
      <c r="E213" s="119" t="s">
        <v>836</v>
      </c>
      <c r="F213" s="119" t="n">
        <v>0</v>
      </c>
      <c r="G213" s="119" t="s">
        <v>1080</v>
      </c>
      <c r="H213" s="119" t="s">
        <v>213</v>
      </c>
      <c r="I213" s="119" t="s">
        <v>668</v>
      </c>
      <c r="J213" s="119" t="s">
        <v>838</v>
      </c>
    </row>
    <row r="214" customFormat="false" ht="15" hidden="false" customHeight="true" outlineLevel="0" collapsed="false">
      <c r="A214" s="119" t="n">
        <v>209</v>
      </c>
      <c r="B214" s="119" t="s">
        <v>822</v>
      </c>
      <c r="C214" s="119" t="s">
        <v>54</v>
      </c>
      <c r="D214" s="119" t="s">
        <v>1101</v>
      </c>
      <c r="E214" s="119" t="s">
        <v>836</v>
      </c>
      <c r="F214" s="119" t="n">
        <v>0</v>
      </c>
      <c r="G214" s="119" t="s">
        <v>1080</v>
      </c>
      <c r="H214" s="119" t="s">
        <v>213</v>
      </c>
      <c r="I214" s="119" t="s">
        <v>668</v>
      </c>
      <c r="J214" s="119" t="s">
        <v>838</v>
      </c>
    </row>
    <row r="215" customFormat="false" ht="15" hidden="false" customHeight="true" outlineLevel="0" collapsed="false">
      <c r="A215" s="119" t="n">
        <v>210</v>
      </c>
      <c r="B215" s="119" t="s">
        <v>822</v>
      </c>
      <c r="C215" s="119" t="s">
        <v>54</v>
      </c>
      <c r="D215" s="119" t="s">
        <v>1102</v>
      </c>
      <c r="E215" s="119" t="s">
        <v>836</v>
      </c>
      <c r="F215" s="119" t="n">
        <v>0</v>
      </c>
      <c r="G215" s="119" t="s">
        <v>1080</v>
      </c>
      <c r="H215" s="119" t="s">
        <v>213</v>
      </c>
      <c r="I215" s="119" t="s">
        <v>668</v>
      </c>
      <c r="J215" s="119" t="s">
        <v>838</v>
      </c>
    </row>
    <row r="216" customFormat="false" ht="15" hidden="false" customHeight="true" outlineLevel="0" collapsed="false">
      <c r="A216" s="119" t="n">
        <v>211</v>
      </c>
      <c r="B216" s="119" t="s">
        <v>822</v>
      </c>
      <c r="C216" s="119" t="s">
        <v>54</v>
      </c>
      <c r="D216" s="119" t="s">
        <v>1103</v>
      </c>
      <c r="E216" s="119" t="s">
        <v>836</v>
      </c>
      <c r="F216" s="119" t="s">
        <v>520</v>
      </c>
      <c r="G216" s="119" t="s">
        <v>1104</v>
      </c>
      <c r="H216" s="119" t="s">
        <v>213</v>
      </c>
      <c r="I216" s="119" t="s">
        <v>668</v>
      </c>
      <c r="J216" s="119" t="s">
        <v>838</v>
      </c>
    </row>
    <row r="217" customFormat="false" ht="27.75" hidden="false" customHeight="true" outlineLevel="0" collapsed="false">
      <c r="A217" s="119" t="n">
        <v>212</v>
      </c>
      <c r="B217" s="119" t="s">
        <v>822</v>
      </c>
      <c r="C217" s="119" t="s">
        <v>54</v>
      </c>
      <c r="D217" s="119" t="s">
        <v>846</v>
      </c>
      <c r="E217" s="119" t="s">
        <v>836</v>
      </c>
      <c r="F217" s="119" t="s">
        <v>1105</v>
      </c>
      <c r="G217" s="119" t="s">
        <v>1104</v>
      </c>
      <c r="H217" s="119" t="s">
        <v>213</v>
      </c>
      <c r="I217" s="119" t="s">
        <v>668</v>
      </c>
      <c r="J217" s="119" t="s">
        <v>838</v>
      </c>
    </row>
    <row r="218" customFormat="false" ht="27.75" hidden="false" customHeight="true" outlineLevel="0" collapsed="false">
      <c r="A218" s="119" t="n">
        <v>213</v>
      </c>
      <c r="B218" s="119" t="s">
        <v>822</v>
      </c>
      <c r="C218" s="119" t="s">
        <v>54</v>
      </c>
      <c r="D218" s="119" t="s">
        <v>847</v>
      </c>
      <c r="E218" s="119" t="s">
        <v>836</v>
      </c>
      <c r="F218" s="119" t="s">
        <v>1106</v>
      </c>
      <c r="G218" s="119" t="s">
        <v>1104</v>
      </c>
      <c r="H218" s="119" t="s">
        <v>213</v>
      </c>
      <c r="I218" s="119" t="s">
        <v>668</v>
      </c>
      <c r="J218" s="119" t="s">
        <v>838</v>
      </c>
    </row>
    <row r="219" customFormat="false" ht="27.75" hidden="false" customHeight="true" outlineLevel="0" collapsed="false">
      <c r="A219" s="119" t="n">
        <v>214</v>
      </c>
      <c r="B219" s="119" t="s">
        <v>822</v>
      </c>
      <c r="C219" s="119" t="s">
        <v>54</v>
      </c>
      <c r="D219" s="119" t="s">
        <v>1107</v>
      </c>
      <c r="E219" s="119" t="s">
        <v>836</v>
      </c>
      <c r="F219" s="119" t="s">
        <v>1108</v>
      </c>
      <c r="G219" s="119" t="s">
        <v>1104</v>
      </c>
      <c r="H219" s="119" t="s">
        <v>213</v>
      </c>
      <c r="I219" s="119" t="s">
        <v>668</v>
      </c>
      <c r="J219" s="119" t="s">
        <v>838</v>
      </c>
    </row>
    <row r="220" customFormat="false" ht="27.75" hidden="false" customHeight="true" outlineLevel="0" collapsed="false">
      <c r="A220" s="119" t="n">
        <v>215</v>
      </c>
      <c r="B220" s="119" t="s">
        <v>822</v>
      </c>
      <c r="C220" s="119" t="s">
        <v>54</v>
      </c>
      <c r="D220" s="119" t="s">
        <v>1109</v>
      </c>
      <c r="E220" s="119" t="s">
        <v>836</v>
      </c>
      <c r="F220" s="119" t="s">
        <v>1110</v>
      </c>
      <c r="G220" s="119" t="s">
        <v>1104</v>
      </c>
      <c r="H220" s="119" t="s">
        <v>213</v>
      </c>
      <c r="I220" s="119" t="s">
        <v>668</v>
      </c>
      <c r="J220" s="119" t="s">
        <v>838</v>
      </c>
    </row>
    <row r="221" customFormat="false" ht="27.75" hidden="false" customHeight="true" outlineLevel="0" collapsed="false">
      <c r="A221" s="119" t="n">
        <v>216</v>
      </c>
      <c r="B221" s="119" t="s">
        <v>822</v>
      </c>
      <c r="C221" s="119" t="s">
        <v>54</v>
      </c>
      <c r="D221" s="119" t="s">
        <v>1111</v>
      </c>
      <c r="E221" s="119" t="s">
        <v>836</v>
      </c>
      <c r="F221" s="119" t="s">
        <v>1112</v>
      </c>
      <c r="G221" s="119" t="s">
        <v>1104</v>
      </c>
      <c r="H221" s="119" t="s">
        <v>213</v>
      </c>
      <c r="I221" s="119" t="s">
        <v>668</v>
      </c>
      <c r="J221" s="119" t="s">
        <v>838</v>
      </c>
    </row>
    <row r="222" customFormat="false" ht="27.75" hidden="false" customHeight="true" outlineLevel="0" collapsed="false">
      <c r="A222" s="119" t="n">
        <v>217</v>
      </c>
      <c r="B222" s="119" t="s">
        <v>822</v>
      </c>
      <c r="C222" s="119" t="s">
        <v>54</v>
      </c>
      <c r="D222" s="119" t="s">
        <v>1113</v>
      </c>
      <c r="E222" s="119" t="s">
        <v>836</v>
      </c>
      <c r="F222" s="119" t="s">
        <v>1114</v>
      </c>
      <c r="G222" s="119" t="s">
        <v>1104</v>
      </c>
      <c r="H222" s="119" t="s">
        <v>213</v>
      </c>
      <c r="I222" s="119" t="s">
        <v>668</v>
      </c>
      <c r="J222" s="119" t="s">
        <v>838</v>
      </c>
    </row>
    <row r="223" customFormat="false" ht="15" hidden="false" customHeight="true" outlineLevel="0" collapsed="false">
      <c r="A223" s="119" t="n">
        <v>218</v>
      </c>
      <c r="B223" s="119" t="s">
        <v>822</v>
      </c>
      <c r="C223" s="119" t="s">
        <v>54</v>
      </c>
      <c r="D223" s="119" t="s">
        <v>1115</v>
      </c>
      <c r="E223" s="119" t="s">
        <v>836</v>
      </c>
      <c r="F223" s="119" t="s">
        <v>555</v>
      </c>
      <c r="G223" s="119" t="s">
        <v>1104</v>
      </c>
      <c r="H223" s="119" t="s">
        <v>213</v>
      </c>
      <c r="I223" s="119" t="s">
        <v>668</v>
      </c>
      <c r="J223" s="119" t="s">
        <v>838</v>
      </c>
    </row>
    <row r="224" customFormat="false" ht="66.75" hidden="false" customHeight="true" outlineLevel="0" collapsed="false">
      <c r="A224" s="119" t="n">
        <v>219</v>
      </c>
      <c r="B224" s="119" t="s">
        <v>822</v>
      </c>
      <c r="C224" s="119" t="s">
        <v>54</v>
      </c>
      <c r="D224" s="119" t="s">
        <v>848</v>
      </c>
      <c r="E224" s="119" t="s">
        <v>836</v>
      </c>
      <c r="F224" s="119" t="s">
        <v>1116</v>
      </c>
      <c r="G224" s="119" t="s">
        <v>1104</v>
      </c>
      <c r="H224" s="119" t="s">
        <v>213</v>
      </c>
      <c r="I224" s="119" t="s">
        <v>668</v>
      </c>
      <c r="J224" s="119" t="s">
        <v>838</v>
      </c>
    </row>
    <row r="225" customFormat="false" ht="66.75" hidden="false" customHeight="true" outlineLevel="0" collapsed="false">
      <c r="A225" s="119" t="n">
        <v>220</v>
      </c>
      <c r="B225" s="119" t="s">
        <v>822</v>
      </c>
      <c r="C225" s="119" t="s">
        <v>54</v>
      </c>
      <c r="D225" s="119" t="s">
        <v>849</v>
      </c>
      <c r="E225" s="119" t="s">
        <v>836</v>
      </c>
      <c r="F225" s="119" t="s">
        <v>1117</v>
      </c>
      <c r="G225" s="119" t="s">
        <v>1104</v>
      </c>
      <c r="H225" s="119" t="s">
        <v>213</v>
      </c>
      <c r="I225" s="119" t="s">
        <v>668</v>
      </c>
      <c r="J225" s="119" t="s">
        <v>838</v>
      </c>
    </row>
    <row r="226" customFormat="false" ht="66.75" hidden="false" customHeight="true" outlineLevel="0" collapsed="false">
      <c r="A226" s="119" t="n">
        <v>221</v>
      </c>
      <c r="B226" s="119" t="s">
        <v>822</v>
      </c>
      <c r="C226" s="119" t="s">
        <v>54</v>
      </c>
      <c r="D226" s="119" t="s">
        <v>1118</v>
      </c>
      <c r="E226" s="119" t="s">
        <v>836</v>
      </c>
      <c r="F226" s="119" t="s">
        <v>1119</v>
      </c>
      <c r="G226" s="119" t="s">
        <v>1104</v>
      </c>
      <c r="H226" s="119" t="s">
        <v>213</v>
      </c>
      <c r="I226" s="119" t="s">
        <v>668</v>
      </c>
      <c r="J226" s="119" t="s">
        <v>838</v>
      </c>
    </row>
    <row r="227" customFormat="false" ht="66.75" hidden="false" customHeight="true" outlineLevel="0" collapsed="false">
      <c r="A227" s="119" t="n">
        <v>222</v>
      </c>
      <c r="B227" s="119" t="s">
        <v>822</v>
      </c>
      <c r="C227" s="119" t="s">
        <v>54</v>
      </c>
      <c r="D227" s="119" t="s">
        <v>1120</v>
      </c>
      <c r="E227" s="119" t="s">
        <v>836</v>
      </c>
      <c r="F227" s="119" t="s">
        <v>1121</v>
      </c>
      <c r="G227" s="119" t="s">
        <v>1104</v>
      </c>
      <c r="H227" s="119" t="s">
        <v>213</v>
      </c>
      <c r="I227" s="119" t="s">
        <v>668</v>
      </c>
      <c r="J227" s="119" t="s">
        <v>838</v>
      </c>
    </row>
    <row r="228" customFormat="false" ht="66.75" hidden="false" customHeight="true" outlineLevel="0" collapsed="false">
      <c r="A228" s="119" t="n">
        <v>223</v>
      </c>
      <c r="B228" s="119" t="s">
        <v>822</v>
      </c>
      <c r="C228" s="119" t="s">
        <v>54</v>
      </c>
      <c r="D228" s="119" t="s">
        <v>1122</v>
      </c>
      <c r="E228" s="119" t="s">
        <v>836</v>
      </c>
      <c r="F228" s="119" t="s">
        <v>1123</v>
      </c>
      <c r="G228" s="119" t="s">
        <v>1104</v>
      </c>
      <c r="H228" s="119" t="s">
        <v>213</v>
      </c>
      <c r="I228" s="119" t="s">
        <v>668</v>
      </c>
      <c r="J228" s="119" t="s">
        <v>838</v>
      </c>
    </row>
    <row r="229" customFormat="false" ht="66.75" hidden="false" customHeight="true" outlineLevel="0" collapsed="false">
      <c r="A229" s="119" t="n">
        <v>224</v>
      </c>
      <c r="B229" s="119" t="s">
        <v>822</v>
      </c>
      <c r="C229" s="119" t="s">
        <v>54</v>
      </c>
      <c r="D229" s="119" t="s">
        <v>1124</v>
      </c>
      <c r="E229" s="119" t="s">
        <v>836</v>
      </c>
      <c r="F229" s="119" t="s">
        <v>1125</v>
      </c>
      <c r="G229" s="119" t="s">
        <v>1104</v>
      </c>
      <c r="H229" s="119" t="s">
        <v>213</v>
      </c>
      <c r="I229" s="119" t="s">
        <v>668</v>
      </c>
      <c r="J229" s="119" t="s">
        <v>838</v>
      </c>
    </row>
    <row r="230" customFormat="false" ht="27.75" hidden="false" customHeight="true" outlineLevel="0" collapsed="false">
      <c r="A230" s="119" t="n">
        <v>225</v>
      </c>
      <c r="B230" s="119" t="s">
        <v>822</v>
      </c>
      <c r="C230" s="119" t="s">
        <v>54</v>
      </c>
      <c r="D230" s="119" t="s">
        <v>1126</v>
      </c>
      <c r="E230" s="119" t="s">
        <v>836</v>
      </c>
      <c r="F230" s="119" t="s">
        <v>556</v>
      </c>
      <c r="G230" s="119" t="s">
        <v>1104</v>
      </c>
      <c r="H230" s="119" t="s">
        <v>213</v>
      </c>
      <c r="I230" s="119" t="s">
        <v>668</v>
      </c>
      <c r="J230" s="119" t="s">
        <v>838</v>
      </c>
    </row>
    <row r="231" customFormat="false" ht="15" hidden="false" customHeight="true" outlineLevel="0" collapsed="false">
      <c r="A231" s="119" t="n">
        <v>226</v>
      </c>
      <c r="B231" s="119" t="s">
        <v>822</v>
      </c>
      <c r="C231" s="119" t="s">
        <v>54</v>
      </c>
      <c r="D231" s="119" t="s">
        <v>1127</v>
      </c>
      <c r="E231" s="119" t="s">
        <v>836</v>
      </c>
      <c r="F231" s="119" t="s">
        <v>1128</v>
      </c>
      <c r="G231" s="119" t="s">
        <v>1104</v>
      </c>
      <c r="H231" s="119" t="s">
        <v>213</v>
      </c>
      <c r="I231" s="119" t="s">
        <v>668</v>
      </c>
      <c r="J231" s="119" t="s">
        <v>838</v>
      </c>
    </row>
    <row r="232" customFormat="false" ht="15" hidden="false" customHeight="true" outlineLevel="0" collapsed="false">
      <c r="A232" s="119" t="n">
        <v>227</v>
      </c>
      <c r="B232" s="119" t="s">
        <v>822</v>
      </c>
      <c r="C232" s="119" t="s">
        <v>54</v>
      </c>
      <c r="D232" s="119" t="s">
        <v>1129</v>
      </c>
      <c r="E232" s="119" t="s">
        <v>836</v>
      </c>
      <c r="F232" s="119" t="s">
        <v>1130</v>
      </c>
      <c r="G232" s="119" t="s">
        <v>1104</v>
      </c>
      <c r="H232" s="119" t="s">
        <v>213</v>
      </c>
      <c r="I232" s="119" t="s">
        <v>668</v>
      </c>
      <c r="J232" s="119" t="s">
        <v>838</v>
      </c>
    </row>
    <row r="233" customFormat="false" ht="15" hidden="false" customHeight="true" outlineLevel="0" collapsed="false">
      <c r="A233" s="119" t="n">
        <v>228</v>
      </c>
      <c r="B233" s="119" t="s">
        <v>822</v>
      </c>
      <c r="C233" s="119" t="s">
        <v>54</v>
      </c>
      <c r="D233" s="119" t="s">
        <v>1131</v>
      </c>
      <c r="E233" s="119" t="s">
        <v>836</v>
      </c>
      <c r="F233" s="119" t="s">
        <v>1132</v>
      </c>
      <c r="G233" s="119" t="s">
        <v>1104</v>
      </c>
      <c r="H233" s="119" t="s">
        <v>213</v>
      </c>
      <c r="I233" s="119" t="s">
        <v>668</v>
      </c>
      <c r="J233" s="119" t="s">
        <v>838</v>
      </c>
    </row>
    <row r="234" customFormat="false" ht="15" hidden="false" customHeight="true" outlineLevel="0" collapsed="false">
      <c r="A234" s="119" t="n">
        <v>229</v>
      </c>
      <c r="B234" s="119" t="s">
        <v>822</v>
      </c>
      <c r="C234" s="119" t="s">
        <v>54</v>
      </c>
      <c r="D234" s="119" t="s">
        <v>1133</v>
      </c>
      <c r="E234" s="119" t="s">
        <v>836</v>
      </c>
      <c r="F234" s="119" t="s">
        <v>1134</v>
      </c>
      <c r="G234" s="119" t="s">
        <v>1104</v>
      </c>
      <c r="H234" s="119" t="s">
        <v>213</v>
      </c>
      <c r="I234" s="119" t="s">
        <v>668</v>
      </c>
      <c r="J234" s="119" t="s">
        <v>838</v>
      </c>
    </row>
    <row r="235" customFormat="false" ht="15" hidden="false" customHeight="true" outlineLevel="0" collapsed="false">
      <c r="A235" s="119" t="n">
        <v>230</v>
      </c>
      <c r="B235" s="119" t="s">
        <v>822</v>
      </c>
      <c r="C235" s="119" t="s">
        <v>54</v>
      </c>
      <c r="D235" s="119" t="s">
        <v>1135</v>
      </c>
      <c r="E235" s="119" t="s">
        <v>836</v>
      </c>
      <c r="F235" s="119" t="s">
        <v>1136</v>
      </c>
      <c r="G235" s="119" t="s">
        <v>1104</v>
      </c>
      <c r="H235" s="119" t="s">
        <v>213</v>
      </c>
      <c r="I235" s="119" t="s">
        <v>668</v>
      </c>
      <c r="J235" s="119" t="s">
        <v>838</v>
      </c>
    </row>
    <row r="236" customFormat="false" ht="15" hidden="false" customHeight="true" outlineLevel="0" collapsed="false">
      <c r="A236" s="119" t="n">
        <v>231</v>
      </c>
      <c r="B236" s="119" t="s">
        <v>822</v>
      </c>
      <c r="C236" s="119" t="s">
        <v>54</v>
      </c>
      <c r="D236" s="119" t="s">
        <v>1137</v>
      </c>
      <c r="E236" s="119" t="s">
        <v>836</v>
      </c>
      <c r="F236" s="119" t="s">
        <v>1138</v>
      </c>
      <c r="G236" s="119" t="s">
        <v>1104</v>
      </c>
      <c r="H236" s="119" t="s">
        <v>213</v>
      </c>
      <c r="I236" s="119" t="s">
        <v>668</v>
      </c>
      <c r="J236" s="119" t="s">
        <v>838</v>
      </c>
    </row>
    <row r="237" customFormat="false" ht="15" hidden="false" customHeight="true" outlineLevel="0" collapsed="false">
      <c r="A237" s="119" t="n">
        <v>232</v>
      </c>
      <c r="B237" s="119" t="s">
        <v>822</v>
      </c>
      <c r="C237" s="119" t="s">
        <v>54</v>
      </c>
      <c r="D237" s="119" t="s">
        <v>1139</v>
      </c>
      <c r="E237" s="119" t="s">
        <v>836</v>
      </c>
      <c r="F237" s="119" t="s">
        <v>557</v>
      </c>
      <c r="G237" s="119" t="s">
        <v>1104</v>
      </c>
      <c r="H237" s="119" t="s">
        <v>213</v>
      </c>
      <c r="I237" s="119" t="s">
        <v>668</v>
      </c>
      <c r="J237" s="119" t="s">
        <v>838</v>
      </c>
    </row>
    <row r="238" customFormat="false" ht="40.5" hidden="false" customHeight="true" outlineLevel="0" collapsed="false">
      <c r="A238" s="119" t="n">
        <v>233</v>
      </c>
      <c r="B238" s="119" t="s">
        <v>822</v>
      </c>
      <c r="C238" s="119" t="s">
        <v>54</v>
      </c>
      <c r="D238" s="119" t="s">
        <v>1140</v>
      </c>
      <c r="E238" s="119" t="s">
        <v>836</v>
      </c>
      <c r="F238" s="119" t="s">
        <v>1141</v>
      </c>
      <c r="G238" s="119" t="s">
        <v>1104</v>
      </c>
      <c r="H238" s="119" t="s">
        <v>213</v>
      </c>
      <c r="I238" s="119" t="s">
        <v>668</v>
      </c>
      <c r="J238" s="119" t="s">
        <v>838</v>
      </c>
    </row>
    <row r="239" customFormat="false" ht="40.5" hidden="false" customHeight="true" outlineLevel="0" collapsed="false">
      <c r="A239" s="119" t="n">
        <v>234</v>
      </c>
      <c r="B239" s="119" t="s">
        <v>822</v>
      </c>
      <c r="C239" s="119" t="s">
        <v>54</v>
      </c>
      <c r="D239" s="119" t="s">
        <v>1142</v>
      </c>
      <c r="E239" s="119" t="s">
        <v>836</v>
      </c>
      <c r="F239" s="119" t="s">
        <v>1143</v>
      </c>
      <c r="G239" s="119" t="s">
        <v>1104</v>
      </c>
      <c r="H239" s="119" t="s">
        <v>213</v>
      </c>
      <c r="I239" s="119" t="s">
        <v>668</v>
      </c>
      <c r="J239" s="119" t="s">
        <v>838</v>
      </c>
    </row>
    <row r="240" customFormat="false" ht="40.5" hidden="false" customHeight="true" outlineLevel="0" collapsed="false">
      <c r="A240" s="119" t="n">
        <v>235</v>
      </c>
      <c r="B240" s="119" t="s">
        <v>822</v>
      </c>
      <c r="C240" s="119" t="s">
        <v>54</v>
      </c>
      <c r="D240" s="119" t="s">
        <v>1144</v>
      </c>
      <c r="E240" s="119" t="s">
        <v>836</v>
      </c>
      <c r="F240" s="119" t="s">
        <v>1145</v>
      </c>
      <c r="G240" s="119" t="s">
        <v>1104</v>
      </c>
      <c r="H240" s="119" t="s">
        <v>213</v>
      </c>
      <c r="I240" s="119" t="s">
        <v>668</v>
      </c>
      <c r="J240" s="119" t="s">
        <v>838</v>
      </c>
    </row>
    <row r="241" customFormat="false" ht="40.5" hidden="false" customHeight="true" outlineLevel="0" collapsed="false">
      <c r="A241" s="119" t="n">
        <v>236</v>
      </c>
      <c r="B241" s="119" t="s">
        <v>822</v>
      </c>
      <c r="C241" s="119" t="s">
        <v>54</v>
      </c>
      <c r="D241" s="119" t="s">
        <v>1146</v>
      </c>
      <c r="E241" s="119" t="s">
        <v>836</v>
      </c>
      <c r="F241" s="119" t="s">
        <v>1147</v>
      </c>
      <c r="G241" s="119" t="s">
        <v>1104</v>
      </c>
      <c r="H241" s="119" t="s">
        <v>213</v>
      </c>
      <c r="I241" s="119" t="s">
        <v>668</v>
      </c>
      <c r="J241" s="119" t="s">
        <v>838</v>
      </c>
    </row>
    <row r="242" customFormat="false" ht="40.5" hidden="false" customHeight="true" outlineLevel="0" collapsed="false">
      <c r="A242" s="119" t="n">
        <v>237</v>
      </c>
      <c r="B242" s="119" t="s">
        <v>822</v>
      </c>
      <c r="C242" s="119" t="s">
        <v>54</v>
      </c>
      <c r="D242" s="119" t="s">
        <v>1148</v>
      </c>
      <c r="E242" s="119" t="s">
        <v>836</v>
      </c>
      <c r="F242" s="119" t="s">
        <v>1149</v>
      </c>
      <c r="G242" s="119" t="s">
        <v>1104</v>
      </c>
      <c r="H242" s="119" t="s">
        <v>213</v>
      </c>
      <c r="I242" s="119" t="s">
        <v>668</v>
      </c>
      <c r="J242" s="119" t="s">
        <v>838</v>
      </c>
    </row>
    <row r="243" customFormat="false" ht="40.5" hidden="false" customHeight="true" outlineLevel="0" collapsed="false">
      <c r="A243" s="119" t="n">
        <v>238</v>
      </c>
      <c r="B243" s="119" t="s">
        <v>822</v>
      </c>
      <c r="C243" s="119" t="s">
        <v>54</v>
      </c>
      <c r="D243" s="119" t="s">
        <v>1150</v>
      </c>
      <c r="E243" s="119" t="s">
        <v>836</v>
      </c>
      <c r="F243" s="119" t="s">
        <v>1151</v>
      </c>
      <c r="G243" s="119" t="s">
        <v>1104</v>
      </c>
      <c r="H243" s="119" t="s">
        <v>213</v>
      </c>
      <c r="I243" s="119" t="s">
        <v>668</v>
      </c>
      <c r="J243" s="119" t="s">
        <v>838</v>
      </c>
    </row>
    <row r="244" customFormat="false" ht="15" hidden="false" customHeight="true" outlineLevel="0" collapsed="false">
      <c r="A244" s="119" t="n">
        <v>239</v>
      </c>
      <c r="B244" s="119" t="s">
        <v>822</v>
      </c>
      <c r="C244" s="119" t="s">
        <v>54</v>
      </c>
      <c r="D244" s="119" t="s">
        <v>1152</v>
      </c>
      <c r="E244" s="119" t="s">
        <v>836</v>
      </c>
      <c r="F244" s="119" t="s">
        <v>558</v>
      </c>
      <c r="G244" s="119" t="s">
        <v>1104</v>
      </c>
      <c r="H244" s="119" t="s">
        <v>213</v>
      </c>
      <c r="I244" s="119" t="s">
        <v>668</v>
      </c>
      <c r="J244" s="119" t="s">
        <v>838</v>
      </c>
    </row>
    <row r="245" customFormat="false" ht="66.75" hidden="false" customHeight="true" outlineLevel="0" collapsed="false">
      <c r="A245" s="119" t="n">
        <v>240</v>
      </c>
      <c r="B245" s="119" t="s">
        <v>822</v>
      </c>
      <c r="C245" s="119" t="s">
        <v>54</v>
      </c>
      <c r="D245" s="119" t="s">
        <v>1153</v>
      </c>
      <c r="E245" s="119" t="s">
        <v>836</v>
      </c>
      <c r="F245" s="119" t="s">
        <v>1154</v>
      </c>
      <c r="G245" s="119" t="s">
        <v>1104</v>
      </c>
      <c r="H245" s="119" t="s">
        <v>213</v>
      </c>
      <c r="I245" s="119" t="s">
        <v>668</v>
      </c>
      <c r="J245" s="119" t="s">
        <v>838</v>
      </c>
    </row>
    <row r="246" customFormat="false" ht="66.75" hidden="false" customHeight="true" outlineLevel="0" collapsed="false">
      <c r="A246" s="119" t="n">
        <v>241</v>
      </c>
      <c r="B246" s="119" t="s">
        <v>822</v>
      </c>
      <c r="C246" s="119" t="s">
        <v>54</v>
      </c>
      <c r="D246" s="119" t="s">
        <v>1155</v>
      </c>
      <c r="E246" s="119" t="s">
        <v>836</v>
      </c>
      <c r="F246" s="119" t="s">
        <v>1156</v>
      </c>
      <c r="G246" s="119" t="s">
        <v>1104</v>
      </c>
      <c r="H246" s="119" t="s">
        <v>213</v>
      </c>
      <c r="I246" s="119" t="s">
        <v>668</v>
      </c>
      <c r="J246" s="119" t="s">
        <v>838</v>
      </c>
    </row>
    <row r="247" customFormat="false" ht="66.75" hidden="false" customHeight="true" outlineLevel="0" collapsed="false">
      <c r="A247" s="119" t="n">
        <v>242</v>
      </c>
      <c r="B247" s="119" t="s">
        <v>822</v>
      </c>
      <c r="C247" s="119" t="s">
        <v>54</v>
      </c>
      <c r="D247" s="119" t="s">
        <v>1157</v>
      </c>
      <c r="E247" s="119" t="s">
        <v>836</v>
      </c>
      <c r="F247" s="119" t="s">
        <v>1158</v>
      </c>
      <c r="G247" s="119" t="s">
        <v>1104</v>
      </c>
      <c r="H247" s="119" t="s">
        <v>213</v>
      </c>
      <c r="I247" s="119" t="s">
        <v>668</v>
      </c>
      <c r="J247" s="119" t="s">
        <v>838</v>
      </c>
    </row>
    <row r="248" customFormat="false" ht="66.75" hidden="false" customHeight="true" outlineLevel="0" collapsed="false">
      <c r="A248" s="119" t="n">
        <v>243</v>
      </c>
      <c r="B248" s="119" t="s">
        <v>822</v>
      </c>
      <c r="C248" s="119" t="s">
        <v>54</v>
      </c>
      <c r="D248" s="119" t="s">
        <v>1159</v>
      </c>
      <c r="E248" s="119" t="s">
        <v>836</v>
      </c>
      <c r="F248" s="119" t="s">
        <v>1160</v>
      </c>
      <c r="G248" s="119" t="s">
        <v>1104</v>
      </c>
      <c r="H248" s="119" t="s">
        <v>213</v>
      </c>
      <c r="I248" s="119" t="s">
        <v>668</v>
      </c>
      <c r="J248" s="119" t="s">
        <v>838</v>
      </c>
    </row>
    <row r="249" customFormat="false" ht="66.75" hidden="false" customHeight="true" outlineLevel="0" collapsed="false">
      <c r="A249" s="119" t="n">
        <v>244</v>
      </c>
      <c r="B249" s="119" t="s">
        <v>822</v>
      </c>
      <c r="C249" s="119" t="s">
        <v>54</v>
      </c>
      <c r="D249" s="119" t="s">
        <v>1161</v>
      </c>
      <c r="E249" s="119" t="s">
        <v>836</v>
      </c>
      <c r="F249" s="119" t="s">
        <v>1162</v>
      </c>
      <c r="G249" s="119" t="s">
        <v>1104</v>
      </c>
      <c r="H249" s="119" t="s">
        <v>213</v>
      </c>
      <c r="I249" s="119" t="s">
        <v>668</v>
      </c>
      <c r="J249" s="119" t="s">
        <v>838</v>
      </c>
    </row>
    <row r="250" customFormat="false" ht="66.75" hidden="false" customHeight="true" outlineLevel="0" collapsed="false">
      <c r="A250" s="119" t="n">
        <v>245</v>
      </c>
      <c r="B250" s="119" t="s">
        <v>822</v>
      </c>
      <c r="C250" s="119" t="s">
        <v>54</v>
      </c>
      <c r="D250" s="119" t="s">
        <v>1163</v>
      </c>
      <c r="E250" s="119" t="s">
        <v>836</v>
      </c>
      <c r="F250" s="119" t="s">
        <v>1164</v>
      </c>
      <c r="G250" s="119" t="s">
        <v>1104</v>
      </c>
      <c r="H250" s="119" t="s">
        <v>213</v>
      </c>
      <c r="I250" s="119" t="s">
        <v>668</v>
      </c>
      <c r="J250" s="119" t="s">
        <v>838</v>
      </c>
    </row>
    <row r="251" customFormat="false" ht="15" hidden="false" customHeight="true" outlineLevel="0" collapsed="false">
      <c r="A251" s="119" t="n">
        <v>246</v>
      </c>
      <c r="B251" s="119" t="s">
        <v>822</v>
      </c>
      <c r="C251" s="119" t="s">
        <v>54</v>
      </c>
      <c r="D251" s="119" t="s">
        <v>1165</v>
      </c>
      <c r="E251" s="119" t="s">
        <v>836</v>
      </c>
      <c r="F251" s="119" t="s">
        <v>559</v>
      </c>
      <c r="G251" s="119" t="s">
        <v>1104</v>
      </c>
      <c r="H251" s="119" t="s">
        <v>213</v>
      </c>
      <c r="I251" s="119" t="s">
        <v>668</v>
      </c>
      <c r="J251" s="119" t="s">
        <v>838</v>
      </c>
    </row>
    <row r="252" customFormat="false" ht="40.5" hidden="false" customHeight="true" outlineLevel="0" collapsed="false">
      <c r="A252" s="119" t="n">
        <v>247</v>
      </c>
      <c r="B252" s="119" t="s">
        <v>822</v>
      </c>
      <c r="C252" s="119" t="s">
        <v>54</v>
      </c>
      <c r="D252" s="119" t="s">
        <v>1166</v>
      </c>
      <c r="E252" s="119" t="s">
        <v>836</v>
      </c>
      <c r="F252" s="119" t="s">
        <v>1167</v>
      </c>
      <c r="G252" s="119" t="s">
        <v>1104</v>
      </c>
      <c r="H252" s="119" t="s">
        <v>213</v>
      </c>
      <c r="I252" s="119" t="s">
        <v>668</v>
      </c>
      <c r="J252" s="119" t="s">
        <v>838</v>
      </c>
    </row>
    <row r="253" customFormat="false" ht="40.5" hidden="false" customHeight="true" outlineLevel="0" collapsed="false">
      <c r="A253" s="119" t="n">
        <v>248</v>
      </c>
      <c r="B253" s="119" t="s">
        <v>822</v>
      </c>
      <c r="C253" s="119" t="s">
        <v>54</v>
      </c>
      <c r="D253" s="119" t="s">
        <v>1168</v>
      </c>
      <c r="E253" s="119" t="s">
        <v>836</v>
      </c>
      <c r="F253" s="119" t="s">
        <v>1169</v>
      </c>
      <c r="G253" s="119" t="s">
        <v>1104</v>
      </c>
      <c r="H253" s="119" t="s">
        <v>213</v>
      </c>
      <c r="I253" s="119" t="s">
        <v>668</v>
      </c>
      <c r="J253" s="119" t="s">
        <v>838</v>
      </c>
    </row>
    <row r="254" customFormat="false" ht="40.5" hidden="false" customHeight="true" outlineLevel="0" collapsed="false">
      <c r="A254" s="119" t="n">
        <v>249</v>
      </c>
      <c r="B254" s="119" t="s">
        <v>822</v>
      </c>
      <c r="C254" s="119" t="s">
        <v>54</v>
      </c>
      <c r="D254" s="119" t="s">
        <v>1170</v>
      </c>
      <c r="E254" s="119" t="s">
        <v>836</v>
      </c>
      <c r="F254" s="119" t="s">
        <v>1171</v>
      </c>
      <c r="G254" s="119" t="s">
        <v>1104</v>
      </c>
      <c r="H254" s="119" t="s">
        <v>213</v>
      </c>
      <c r="I254" s="119" t="s">
        <v>668</v>
      </c>
      <c r="J254" s="119" t="s">
        <v>838</v>
      </c>
    </row>
    <row r="255" customFormat="false" ht="40.5" hidden="false" customHeight="true" outlineLevel="0" collapsed="false">
      <c r="A255" s="119" t="n">
        <v>250</v>
      </c>
      <c r="B255" s="119" t="s">
        <v>822</v>
      </c>
      <c r="C255" s="119" t="s">
        <v>54</v>
      </c>
      <c r="D255" s="119" t="s">
        <v>1172</v>
      </c>
      <c r="E255" s="119" t="s">
        <v>836</v>
      </c>
      <c r="F255" s="119" t="s">
        <v>1173</v>
      </c>
      <c r="G255" s="119" t="s">
        <v>1104</v>
      </c>
      <c r="H255" s="119" t="s">
        <v>213</v>
      </c>
      <c r="I255" s="119" t="s">
        <v>668</v>
      </c>
      <c r="J255" s="119" t="s">
        <v>838</v>
      </c>
    </row>
    <row r="256" customFormat="false" ht="40.5" hidden="false" customHeight="true" outlineLevel="0" collapsed="false">
      <c r="A256" s="119" t="n">
        <v>251</v>
      </c>
      <c r="B256" s="119" t="s">
        <v>822</v>
      </c>
      <c r="C256" s="119" t="s">
        <v>54</v>
      </c>
      <c r="D256" s="119" t="s">
        <v>1174</v>
      </c>
      <c r="E256" s="119" t="s">
        <v>836</v>
      </c>
      <c r="F256" s="119" t="s">
        <v>1175</v>
      </c>
      <c r="G256" s="119" t="s">
        <v>1104</v>
      </c>
      <c r="H256" s="119" t="s">
        <v>213</v>
      </c>
      <c r="I256" s="119" t="s">
        <v>668</v>
      </c>
      <c r="J256" s="119" t="s">
        <v>838</v>
      </c>
    </row>
    <row r="257" customFormat="false" ht="40.5" hidden="false" customHeight="true" outlineLevel="0" collapsed="false">
      <c r="A257" s="119" t="n">
        <v>252</v>
      </c>
      <c r="B257" s="119" t="s">
        <v>822</v>
      </c>
      <c r="C257" s="119" t="s">
        <v>54</v>
      </c>
      <c r="D257" s="119" t="s">
        <v>1176</v>
      </c>
      <c r="E257" s="119" t="s">
        <v>836</v>
      </c>
      <c r="F257" s="119" t="s">
        <v>1177</v>
      </c>
      <c r="G257" s="119" t="s">
        <v>1104</v>
      </c>
      <c r="H257" s="119" t="s">
        <v>213</v>
      </c>
      <c r="I257" s="119" t="s">
        <v>668</v>
      </c>
      <c r="J257" s="119" t="s">
        <v>838</v>
      </c>
    </row>
    <row r="258" customFormat="false" ht="15" hidden="false" customHeight="true" outlineLevel="0" collapsed="false">
      <c r="A258" s="119" t="n">
        <v>253</v>
      </c>
      <c r="B258" s="119" t="s">
        <v>822</v>
      </c>
      <c r="C258" s="119" t="s">
        <v>54</v>
      </c>
      <c r="D258" s="119" t="s">
        <v>1178</v>
      </c>
      <c r="E258" s="119" t="s">
        <v>836</v>
      </c>
      <c r="F258" s="119" t="s">
        <v>489</v>
      </c>
      <c r="G258" s="119" t="s">
        <v>1104</v>
      </c>
      <c r="H258" s="119" t="s">
        <v>213</v>
      </c>
      <c r="I258" s="119" t="s">
        <v>668</v>
      </c>
      <c r="J258" s="119" t="s">
        <v>838</v>
      </c>
    </row>
    <row r="259" customFormat="false" ht="40.5" hidden="false" customHeight="true" outlineLevel="0" collapsed="false">
      <c r="A259" s="119" t="n">
        <v>254</v>
      </c>
      <c r="B259" s="119" t="s">
        <v>822</v>
      </c>
      <c r="C259" s="119" t="s">
        <v>54</v>
      </c>
      <c r="D259" s="119" t="s">
        <v>1179</v>
      </c>
      <c r="E259" s="119" t="s">
        <v>836</v>
      </c>
      <c r="F259" s="119" t="s">
        <v>1180</v>
      </c>
      <c r="G259" s="119" t="s">
        <v>1104</v>
      </c>
      <c r="H259" s="119" t="s">
        <v>213</v>
      </c>
      <c r="I259" s="119" t="s">
        <v>668</v>
      </c>
      <c r="J259" s="119" t="s">
        <v>838</v>
      </c>
    </row>
    <row r="260" customFormat="false" ht="40.5" hidden="false" customHeight="true" outlineLevel="0" collapsed="false">
      <c r="A260" s="119" t="n">
        <v>255</v>
      </c>
      <c r="B260" s="119" t="s">
        <v>822</v>
      </c>
      <c r="C260" s="119" t="s">
        <v>54</v>
      </c>
      <c r="D260" s="119" t="s">
        <v>1181</v>
      </c>
      <c r="E260" s="119" t="s">
        <v>836</v>
      </c>
      <c r="F260" s="119" t="s">
        <v>1182</v>
      </c>
      <c r="G260" s="119" t="s">
        <v>1104</v>
      </c>
      <c r="H260" s="119" t="s">
        <v>213</v>
      </c>
      <c r="I260" s="119" t="s">
        <v>668</v>
      </c>
      <c r="J260" s="119" t="s">
        <v>838</v>
      </c>
    </row>
    <row r="261" customFormat="false" ht="40.5" hidden="false" customHeight="true" outlineLevel="0" collapsed="false">
      <c r="A261" s="119" t="n">
        <v>256</v>
      </c>
      <c r="B261" s="119" t="s">
        <v>822</v>
      </c>
      <c r="C261" s="119" t="s">
        <v>54</v>
      </c>
      <c r="D261" s="119" t="s">
        <v>1183</v>
      </c>
      <c r="E261" s="119" t="s">
        <v>836</v>
      </c>
      <c r="F261" s="119" t="s">
        <v>1184</v>
      </c>
      <c r="G261" s="119" t="s">
        <v>1104</v>
      </c>
      <c r="H261" s="119" t="s">
        <v>213</v>
      </c>
      <c r="I261" s="119" t="s">
        <v>668</v>
      </c>
      <c r="J261" s="119" t="s">
        <v>838</v>
      </c>
    </row>
    <row r="262" customFormat="false" ht="40.5" hidden="false" customHeight="true" outlineLevel="0" collapsed="false">
      <c r="A262" s="119" t="n">
        <v>257</v>
      </c>
      <c r="B262" s="119" t="s">
        <v>822</v>
      </c>
      <c r="C262" s="119" t="s">
        <v>54</v>
      </c>
      <c r="D262" s="119" t="s">
        <v>1185</v>
      </c>
      <c r="E262" s="119" t="s">
        <v>836</v>
      </c>
      <c r="F262" s="119" t="s">
        <v>1186</v>
      </c>
      <c r="G262" s="119" t="s">
        <v>1104</v>
      </c>
      <c r="H262" s="119" t="s">
        <v>213</v>
      </c>
      <c r="I262" s="119" t="s">
        <v>668</v>
      </c>
      <c r="J262" s="119" t="s">
        <v>838</v>
      </c>
    </row>
    <row r="263" customFormat="false" ht="40.5" hidden="false" customHeight="true" outlineLevel="0" collapsed="false">
      <c r="A263" s="119" t="n">
        <v>258</v>
      </c>
      <c r="B263" s="119" t="s">
        <v>822</v>
      </c>
      <c r="C263" s="119" t="s">
        <v>54</v>
      </c>
      <c r="D263" s="119" t="s">
        <v>1187</v>
      </c>
      <c r="E263" s="119" t="s">
        <v>836</v>
      </c>
      <c r="F263" s="119" t="s">
        <v>1188</v>
      </c>
      <c r="G263" s="119" t="s">
        <v>1104</v>
      </c>
      <c r="H263" s="119" t="s">
        <v>213</v>
      </c>
      <c r="I263" s="119" t="s">
        <v>668</v>
      </c>
      <c r="J263" s="119" t="s">
        <v>838</v>
      </c>
    </row>
    <row r="264" customFormat="false" ht="40.5" hidden="false" customHeight="true" outlineLevel="0" collapsed="false">
      <c r="A264" s="119" t="n">
        <v>259</v>
      </c>
      <c r="B264" s="119" t="s">
        <v>822</v>
      </c>
      <c r="C264" s="119" t="s">
        <v>54</v>
      </c>
      <c r="D264" s="119" t="s">
        <v>1189</v>
      </c>
      <c r="E264" s="119" t="s">
        <v>836</v>
      </c>
      <c r="F264" s="119" t="s">
        <v>1190</v>
      </c>
      <c r="G264" s="119" t="s">
        <v>1104</v>
      </c>
      <c r="H264" s="119" t="s">
        <v>213</v>
      </c>
      <c r="I264" s="119" t="s">
        <v>668</v>
      </c>
      <c r="J264" s="119" t="s">
        <v>838</v>
      </c>
    </row>
    <row r="265" customFormat="false" ht="27.75" hidden="false" customHeight="true" outlineLevel="0" collapsed="false">
      <c r="A265" s="119" t="n">
        <v>260</v>
      </c>
      <c r="B265" s="119" t="s">
        <v>822</v>
      </c>
      <c r="C265" s="119" t="s">
        <v>54</v>
      </c>
      <c r="D265" s="119" t="s">
        <v>1191</v>
      </c>
      <c r="E265" s="119" t="s">
        <v>836</v>
      </c>
      <c r="F265" s="119" t="s">
        <v>560</v>
      </c>
      <c r="G265" s="119" t="s">
        <v>1104</v>
      </c>
      <c r="H265" s="119" t="s">
        <v>213</v>
      </c>
      <c r="I265" s="119" t="s">
        <v>668</v>
      </c>
      <c r="J265" s="119" t="s">
        <v>838</v>
      </c>
    </row>
    <row r="266" customFormat="false" ht="66.75" hidden="false" customHeight="true" outlineLevel="0" collapsed="false">
      <c r="A266" s="119" t="n">
        <v>261</v>
      </c>
      <c r="B266" s="119" t="s">
        <v>822</v>
      </c>
      <c r="C266" s="119" t="s">
        <v>54</v>
      </c>
      <c r="D266" s="119" t="s">
        <v>1192</v>
      </c>
      <c r="E266" s="119" t="s">
        <v>836</v>
      </c>
      <c r="F266" s="119" t="s">
        <v>1193</v>
      </c>
      <c r="G266" s="119" t="s">
        <v>1104</v>
      </c>
      <c r="H266" s="119" t="s">
        <v>213</v>
      </c>
      <c r="I266" s="119" t="s">
        <v>668</v>
      </c>
      <c r="J266" s="119" t="s">
        <v>838</v>
      </c>
    </row>
    <row r="267" customFormat="false" ht="66.75" hidden="false" customHeight="true" outlineLevel="0" collapsed="false">
      <c r="A267" s="119" t="n">
        <v>262</v>
      </c>
      <c r="B267" s="119" t="s">
        <v>822</v>
      </c>
      <c r="C267" s="119" t="s">
        <v>54</v>
      </c>
      <c r="D267" s="119" t="s">
        <v>1194</v>
      </c>
      <c r="E267" s="119" t="s">
        <v>836</v>
      </c>
      <c r="F267" s="119" t="s">
        <v>1195</v>
      </c>
      <c r="G267" s="119" t="s">
        <v>1104</v>
      </c>
      <c r="H267" s="119" t="s">
        <v>213</v>
      </c>
      <c r="I267" s="119" t="s">
        <v>668</v>
      </c>
      <c r="J267" s="119" t="s">
        <v>838</v>
      </c>
    </row>
    <row r="268" customFormat="false" ht="66.75" hidden="false" customHeight="true" outlineLevel="0" collapsed="false">
      <c r="A268" s="119" t="n">
        <v>263</v>
      </c>
      <c r="B268" s="119" t="s">
        <v>822</v>
      </c>
      <c r="C268" s="119" t="s">
        <v>54</v>
      </c>
      <c r="D268" s="119" t="s">
        <v>1196</v>
      </c>
      <c r="E268" s="119" t="s">
        <v>836</v>
      </c>
      <c r="F268" s="119" t="s">
        <v>1197</v>
      </c>
      <c r="G268" s="119" t="s">
        <v>1104</v>
      </c>
      <c r="H268" s="119" t="s">
        <v>213</v>
      </c>
      <c r="I268" s="119" t="s">
        <v>668</v>
      </c>
      <c r="J268" s="119" t="s">
        <v>838</v>
      </c>
    </row>
    <row r="269" customFormat="false" ht="66.75" hidden="false" customHeight="true" outlineLevel="0" collapsed="false">
      <c r="A269" s="119" t="n">
        <v>264</v>
      </c>
      <c r="B269" s="119" t="s">
        <v>822</v>
      </c>
      <c r="C269" s="119" t="s">
        <v>54</v>
      </c>
      <c r="D269" s="119" t="s">
        <v>1198</v>
      </c>
      <c r="E269" s="119" t="s">
        <v>836</v>
      </c>
      <c r="F269" s="119" t="s">
        <v>1199</v>
      </c>
      <c r="G269" s="119" t="s">
        <v>1104</v>
      </c>
      <c r="H269" s="119" t="s">
        <v>213</v>
      </c>
      <c r="I269" s="119" t="s">
        <v>668</v>
      </c>
      <c r="J269" s="119" t="s">
        <v>838</v>
      </c>
    </row>
    <row r="270" customFormat="false" ht="66.75" hidden="false" customHeight="true" outlineLevel="0" collapsed="false">
      <c r="A270" s="119" t="n">
        <v>265</v>
      </c>
      <c r="B270" s="119" t="s">
        <v>822</v>
      </c>
      <c r="C270" s="119" t="s">
        <v>54</v>
      </c>
      <c r="D270" s="119" t="s">
        <v>1200</v>
      </c>
      <c r="E270" s="119" t="s">
        <v>836</v>
      </c>
      <c r="F270" s="119" t="s">
        <v>1201</v>
      </c>
      <c r="G270" s="119" t="s">
        <v>1104</v>
      </c>
      <c r="H270" s="119" t="s">
        <v>213</v>
      </c>
      <c r="I270" s="119" t="s">
        <v>668</v>
      </c>
      <c r="J270" s="119" t="s">
        <v>838</v>
      </c>
    </row>
    <row r="271" customFormat="false" ht="66.75" hidden="false" customHeight="true" outlineLevel="0" collapsed="false">
      <c r="A271" s="119" t="n">
        <v>266</v>
      </c>
      <c r="B271" s="119" t="s">
        <v>822</v>
      </c>
      <c r="C271" s="119" t="s">
        <v>54</v>
      </c>
      <c r="D271" s="119" t="s">
        <v>1202</v>
      </c>
      <c r="E271" s="119" t="s">
        <v>836</v>
      </c>
      <c r="F271" s="119" t="s">
        <v>1203</v>
      </c>
      <c r="G271" s="119" t="s">
        <v>1104</v>
      </c>
      <c r="H271" s="119" t="s">
        <v>213</v>
      </c>
      <c r="I271" s="119" t="s">
        <v>668</v>
      </c>
      <c r="J271" s="119" t="s">
        <v>838</v>
      </c>
    </row>
    <row r="272" customFormat="false" ht="93" hidden="false" customHeight="true" outlineLevel="0" collapsed="false">
      <c r="A272" s="119" t="n">
        <v>267</v>
      </c>
      <c r="B272" s="119" t="s">
        <v>822</v>
      </c>
      <c r="C272" s="119" t="s">
        <v>54</v>
      </c>
      <c r="D272" s="119" t="s">
        <v>1204</v>
      </c>
      <c r="E272" s="119" t="s">
        <v>836</v>
      </c>
      <c r="F272" s="119" t="s">
        <v>561</v>
      </c>
      <c r="G272" s="119" t="s">
        <v>1205</v>
      </c>
      <c r="H272" s="119" t="s">
        <v>213</v>
      </c>
      <c r="I272" s="119" t="s">
        <v>668</v>
      </c>
      <c r="J272" s="119" t="s">
        <v>838</v>
      </c>
    </row>
    <row r="273" customFormat="false" ht="93" hidden="false" customHeight="true" outlineLevel="0" collapsed="false">
      <c r="A273" s="119" t="n">
        <v>268</v>
      </c>
      <c r="B273" s="119" t="s">
        <v>822</v>
      </c>
      <c r="C273" s="119" t="s">
        <v>54</v>
      </c>
      <c r="D273" s="119" t="s">
        <v>1206</v>
      </c>
      <c r="E273" s="119" t="s">
        <v>836</v>
      </c>
      <c r="F273" s="119" t="s">
        <v>562</v>
      </c>
      <c r="G273" s="119" t="s">
        <v>1205</v>
      </c>
      <c r="H273" s="119" t="s">
        <v>213</v>
      </c>
      <c r="I273" s="119" t="s">
        <v>668</v>
      </c>
      <c r="J273" s="119" t="s">
        <v>838</v>
      </c>
    </row>
    <row r="274" customFormat="false" ht="27.75" hidden="false" customHeight="true" outlineLevel="0" collapsed="false">
      <c r="A274" s="119" t="n">
        <v>269</v>
      </c>
      <c r="B274" s="119" t="s">
        <v>822</v>
      </c>
      <c r="C274" s="119" t="s">
        <v>56</v>
      </c>
      <c r="D274" s="119" t="s">
        <v>1207</v>
      </c>
      <c r="E274" s="119" t="s">
        <v>836</v>
      </c>
      <c r="F274" s="119" t="s">
        <v>605</v>
      </c>
      <c r="G274" s="119" t="s">
        <v>1208</v>
      </c>
      <c r="H274" s="119" t="s">
        <v>1209</v>
      </c>
      <c r="I274" s="119" t="s">
        <v>668</v>
      </c>
      <c r="J274" s="119" t="s">
        <v>838</v>
      </c>
    </row>
    <row r="275" customFormat="false" ht="40.5" hidden="false" customHeight="true" outlineLevel="0" collapsed="false">
      <c r="A275" s="119" t="n">
        <v>270</v>
      </c>
      <c r="B275" s="119" t="s">
        <v>822</v>
      </c>
      <c r="C275" s="119" t="s">
        <v>56</v>
      </c>
      <c r="D275" s="119" t="s">
        <v>1210</v>
      </c>
      <c r="E275" s="119" t="s">
        <v>836</v>
      </c>
      <c r="F275" s="119" t="s">
        <v>610</v>
      </c>
      <c r="G275" s="119" t="s">
        <v>1211</v>
      </c>
      <c r="H275" s="119" t="s">
        <v>1209</v>
      </c>
      <c r="I275" s="119" t="s">
        <v>668</v>
      </c>
      <c r="J275" s="119" t="s">
        <v>838</v>
      </c>
    </row>
    <row r="276" customFormat="false" ht="118.5" hidden="false" customHeight="true" outlineLevel="0" collapsed="false">
      <c r="A276" s="119" t="n">
        <v>271</v>
      </c>
      <c r="B276" s="119" t="s">
        <v>822</v>
      </c>
      <c r="C276" s="119" t="s">
        <v>56</v>
      </c>
      <c r="D276" s="119" t="s">
        <v>1212</v>
      </c>
      <c r="E276" s="119" t="s">
        <v>836</v>
      </c>
      <c r="F276" s="119" t="s">
        <v>615</v>
      </c>
      <c r="G276" s="119" t="s">
        <v>1211</v>
      </c>
      <c r="H276" s="119" t="s">
        <v>1209</v>
      </c>
      <c r="I276" s="119" t="s">
        <v>668</v>
      </c>
      <c r="J276" s="119" t="s">
        <v>838</v>
      </c>
    </row>
    <row r="277" customFormat="false" ht="40.5" hidden="false" customHeight="true" outlineLevel="0" collapsed="false">
      <c r="A277" s="119" t="n">
        <v>272</v>
      </c>
      <c r="B277" s="119" t="s">
        <v>822</v>
      </c>
      <c r="C277" s="119" t="s">
        <v>56</v>
      </c>
      <c r="D277" s="119" t="s">
        <v>1213</v>
      </c>
      <c r="E277" s="119" t="s">
        <v>836</v>
      </c>
      <c r="F277" s="119" t="s">
        <v>620</v>
      </c>
      <c r="G277" s="119" t="s">
        <v>1211</v>
      </c>
      <c r="H277" s="119" t="s">
        <v>1209</v>
      </c>
      <c r="I277" s="119" t="s">
        <v>668</v>
      </c>
      <c r="J277" s="119" t="s">
        <v>838</v>
      </c>
    </row>
    <row r="278" customFormat="false" ht="54" hidden="false" customHeight="true" outlineLevel="0" collapsed="false">
      <c r="A278" s="119" t="n">
        <v>273</v>
      </c>
      <c r="B278" s="119" t="s">
        <v>822</v>
      </c>
      <c r="C278" s="119" t="s">
        <v>56</v>
      </c>
      <c r="D278" s="119" t="s">
        <v>1214</v>
      </c>
      <c r="E278" s="119" t="s">
        <v>836</v>
      </c>
      <c r="F278" s="119" t="s">
        <v>625</v>
      </c>
      <c r="G278" s="119" t="s">
        <v>1211</v>
      </c>
      <c r="H278" s="119" t="s">
        <v>1209</v>
      </c>
      <c r="I278" s="119" t="s">
        <v>668</v>
      </c>
      <c r="J278" s="119" t="s">
        <v>838</v>
      </c>
    </row>
    <row r="279" customFormat="false" ht="40.5" hidden="false" customHeight="true" outlineLevel="0" collapsed="false">
      <c r="A279" s="119" t="n">
        <v>274</v>
      </c>
      <c r="B279" s="119" t="s">
        <v>822</v>
      </c>
      <c r="C279" s="119" t="s">
        <v>56</v>
      </c>
      <c r="D279" s="119" t="s">
        <v>1215</v>
      </c>
      <c r="E279" s="119" t="s">
        <v>836</v>
      </c>
      <c r="F279" s="119" t="s">
        <v>630</v>
      </c>
      <c r="G279" s="119" t="s">
        <v>1211</v>
      </c>
      <c r="H279" s="119" t="s">
        <v>1209</v>
      </c>
      <c r="I279" s="119" t="s">
        <v>668</v>
      </c>
      <c r="J279" s="119" t="s">
        <v>838</v>
      </c>
    </row>
    <row r="280" customFormat="false" ht="40.5" hidden="false" customHeight="true" outlineLevel="0" collapsed="false">
      <c r="A280" s="119" t="n">
        <v>275</v>
      </c>
      <c r="B280" s="119" t="s">
        <v>822</v>
      </c>
      <c r="C280" s="119" t="s">
        <v>56</v>
      </c>
      <c r="D280" s="119" t="s">
        <v>1216</v>
      </c>
      <c r="E280" s="119" t="s">
        <v>836</v>
      </c>
      <c r="F280" s="119" t="s">
        <v>634</v>
      </c>
      <c r="G280" s="119" t="s">
        <v>1211</v>
      </c>
      <c r="H280" s="119" t="s">
        <v>1209</v>
      </c>
      <c r="I280" s="119" t="s">
        <v>668</v>
      </c>
      <c r="J280" s="119" t="s">
        <v>838</v>
      </c>
    </row>
    <row r="281" customFormat="false" ht="40.5" hidden="false" customHeight="true" outlineLevel="0" collapsed="false">
      <c r="A281" s="119" t="n">
        <v>276</v>
      </c>
      <c r="B281" s="119" t="s">
        <v>822</v>
      </c>
      <c r="C281" s="119" t="s">
        <v>56</v>
      </c>
      <c r="D281" s="119" t="s">
        <v>1217</v>
      </c>
      <c r="E281" s="119" t="s">
        <v>836</v>
      </c>
      <c r="F281" s="119" t="s">
        <v>638</v>
      </c>
      <c r="G281" s="119" t="s">
        <v>1211</v>
      </c>
      <c r="H281" s="119" t="s">
        <v>1209</v>
      </c>
      <c r="I281" s="119" t="s">
        <v>668</v>
      </c>
      <c r="J281" s="119" t="s">
        <v>838</v>
      </c>
    </row>
    <row r="282" customFormat="false" ht="40.5" hidden="false" customHeight="true" outlineLevel="0" collapsed="false">
      <c r="A282" s="119" t="n">
        <v>277</v>
      </c>
      <c r="B282" s="119" t="s">
        <v>822</v>
      </c>
      <c r="C282" s="119" t="s">
        <v>56</v>
      </c>
      <c r="D282" s="119" t="s">
        <v>1218</v>
      </c>
      <c r="E282" s="119" t="s">
        <v>836</v>
      </c>
      <c r="F282" s="119" t="s">
        <v>642</v>
      </c>
      <c r="G282" s="119" t="s">
        <v>1211</v>
      </c>
      <c r="H282" s="119" t="s">
        <v>1209</v>
      </c>
      <c r="I282" s="119" t="s">
        <v>668</v>
      </c>
      <c r="J282" s="119" t="s">
        <v>838</v>
      </c>
    </row>
    <row r="283" customFormat="false" ht="40.5" hidden="false" customHeight="true" outlineLevel="0" collapsed="false">
      <c r="A283" s="119" t="n">
        <v>278</v>
      </c>
      <c r="B283" s="119" t="s">
        <v>822</v>
      </c>
      <c r="C283" s="119" t="s">
        <v>56</v>
      </c>
      <c r="D283" s="119" t="s">
        <v>1219</v>
      </c>
      <c r="E283" s="119" t="s">
        <v>836</v>
      </c>
      <c r="F283" s="119" t="s">
        <v>647</v>
      </c>
      <c r="G283" s="119" t="s">
        <v>1211</v>
      </c>
      <c r="H283" s="119" t="s">
        <v>1209</v>
      </c>
      <c r="I283" s="119" t="s">
        <v>668</v>
      </c>
      <c r="J283" s="119" t="s">
        <v>838</v>
      </c>
    </row>
    <row r="284" customFormat="false" ht="40.5" hidden="false" customHeight="true" outlineLevel="0" collapsed="false">
      <c r="A284" s="119" t="n">
        <v>279</v>
      </c>
      <c r="B284" s="119" t="s">
        <v>822</v>
      </c>
      <c r="C284" s="119" t="s">
        <v>56</v>
      </c>
      <c r="D284" s="119" t="s">
        <v>1220</v>
      </c>
      <c r="E284" s="119" t="s">
        <v>836</v>
      </c>
      <c r="F284" s="119" t="s">
        <v>651</v>
      </c>
      <c r="G284" s="119" t="s">
        <v>1211</v>
      </c>
      <c r="H284" s="119" t="s">
        <v>1209</v>
      </c>
      <c r="I284" s="119" t="s">
        <v>668</v>
      </c>
      <c r="J284" s="119" t="s">
        <v>838</v>
      </c>
    </row>
    <row r="285" customFormat="false" ht="40.5" hidden="false" customHeight="true" outlineLevel="0" collapsed="false">
      <c r="A285" s="119" t="n">
        <v>280</v>
      </c>
      <c r="B285" s="119" t="s">
        <v>822</v>
      </c>
      <c r="C285" s="119" t="s">
        <v>56</v>
      </c>
      <c r="D285" s="119" t="s">
        <v>1221</v>
      </c>
      <c r="E285" s="119" t="s">
        <v>836</v>
      </c>
      <c r="F285" s="119" t="s">
        <v>655</v>
      </c>
      <c r="G285" s="119" t="s">
        <v>1211</v>
      </c>
      <c r="H285" s="119" t="s">
        <v>1209</v>
      </c>
      <c r="I285" s="119" t="s">
        <v>668</v>
      </c>
      <c r="J285" s="119" t="s">
        <v>838</v>
      </c>
    </row>
    <row r="286" customFormat="false" ht="40.5" hidden="false" customHeight="true" outlineLevel="0" collapsed="false">
      <c r="A286" s="119" t="n">
        <v>281</v>
      </c>
      <c r="B286" s="119" t="s">
        <v>822</v>
      </c>
      <c r="C286" s="119" t="s">
        <v>56</v>
      </c>
      <c r="D286" s="119" t="s">
        <v>1222</v>
      </c>
      <c r="E286" s="119" t="s">
        <v>836</v>
      </c>
      <c r="F286" s="119" t="s">
        <v>660</v>
      </c>
      <c r="G286" s="119" t="s">
        <v>1211</v>
      </c>
      <c r="H286" s="119" t="s">
        <v>1209</v>
      </c>
      <c r="I286" s="119" t="s">
        <v>668</v>
      </c>
      <c r="J286" s="119" t="s">
        <v>838</v>
      </c>
    </row>
    <row r="287" customFormat="false" ht="40.5" hidden="false" customHeight="true" outlineLevel="0" collapsed="false">
      <c r="A287" s="119" t="n">
        <v>282</v>
      </c>
      <c r="B287" s="119" t="s">
        <v>822</v>
      </c>
      <c r="C287" s="119" t="s">
        <v>56</v>
      </c>
      <c r="D287" s="119" t="s">
        <v>1223</v>
      </c>
      <c r="E287" s="119" t="s">
        <v>836</v>
      </c>
      <c r="F287" s="119" t="s">
        <v>660</v>
      </c>
      <c r="G287" s="119" t="s">
        <v>1211</v>
      </c>
      <c r="H287" s="119" t="s">
        <v>1209</v>
      </c>
      <c r="I287" s="119" t="s">
        <v>668</v>
      </c>
      <c r="J287" s="119" t="s">
        <v>838</v>
      </c>
    </row>
    <row r="288" customFormat="false" ht="40.5" hidden="false" customHeight="true" outlineLevel="0" collapsed="false">
      <c r="A288" s="119" t="n">
        <v>283</v>
      </c>
      <c r="B288" s="119" t="s">
        <v>822</v>
      </c>
      <c r="C288" s="119" t="s">
        <v>56</v>
      </c>
      <c r="D288" s="119" t="s">
        <v>1224</v>
      </c>
      <c r="E288" s="119" t="s">
        <v>836</v>
      </c>
      <c r="F288" s="119" t="s">
        <v>665</v>
      </c>
      <c r="G288" s="119" t="s">
        <v>1225</v>
      </c>
      <c r="H288" s="119" t="s">
        <v>1209</v>
      </c>
      <c r="I288" s="119" t="s">
        <v>668</v>
      </c>
      <c r="J288" s="119" t="s">
        <v>838</v>
      </c>
    </row>
    <row r="289" customFormat="false" ht="40.5" hidden="false" customHeight="true" outlineLevel="0" collapsed="false">
      <c r="A289" s="119" t="n">
        <v>284</v>
      </c>
      <c r="B289" s="119" t="s">
        <v>822</v>
      </c>
      <c r="C289" s="119" t="s">
        <v>56</v>
      </c>
      <c r="D289" s="119" t="s">
        <v>1226</v>
      </c>
      <c r="E289" s="119" t="s">
        <v>836</v>
      </c>
      <c r="F289" s="119" t="s">
        <v>666</v>
      </c>
      <c r="G289" s="119" t="s">
        <v>1225</v>
      </c>
      <c r="H289" s="119" t="s">
        <v>1209</v>
      </c>
      <c r="I289" s="119" t="s">
        <v>668</v>
      </c>
      <c r="J289" s="119" t="s">
        <v>838</v>
      </c>
    </row>
    <row r="290" customFormat="false" ht="54" hidden="false" customHeight="true" outlineLevel="0" collapsed="false">
      <c r="A290" s="119" t="n">
        <v>285</v>
      </c>
      <c r="B290" s="119" t="s">
        <v>822</v>
      </c>
      <c r="C290" s="119" t="s">
        <v>56</v>
      </c>
      <c r="D290" s="119" t="s">
        <v>1227</v>
      </c>
      <c r="E290" s="119" t="s">
        <v>836</v>
      </c>
      <c r="F290" s="119" t="s">
        <v>667</v>
      </c>
      <c r="G290" s="119" t="s">
        <v>1225</v>
      </c>
      <c r="H290" s="119" t="s">
        <v>1209</v>
      </c>
      <c r="I290" s="119" t="s">
        <v>668</v>
      </c>
      <c r="J290" s="119" t="s">
        <v>838</v>
      </c>
    </row>
    <row r="291" customFormat="false" ht="40.5" hidden="false" customHeight="true" outlineLevel="0" collapsed="false">
      <c r="A291" s="119" t="n">
        <v>286</v>
      </c>
      <c r="B291" s="119" t="s">
        <v>822</v>
      </c>
      <c r="C291" s="119" t="s">
        <v>56</v>
      </c>
      <c r="D291" s="119" t="s">
        <v>1228</v>
      </c>
      <c r="E291" s="119" t="s">
        <v>836</v>
      </c>
      <c r="F291" s="119" t="s">
        <v>668</v>
      </c>
      <c r="G291" s="119" t="s">
        <v>1225</v>
      </c>
      <c r="H291" s="119" t="s">
        <v>1209</v>
      </c>
      <c r="I291" s="119" t="s">
        <v>668</v>
      </c>
      <c r="J291" s="119" t="s">
        <v>838</v>
      </c>
    </row>
    <row r="292" customFormat="false" ht="40.5" hidden="false" customHeight="true" outlineLevel="0" collapsed="false">
      <c r="A292" s="119" t="n">
        <v>287</v>
      </c>
      <c r="B292" s="119" t="s">
        <v>822</v>
      </c>
      <c r="C292" s="119" t="s">
        <v>56</v>
      </c>
      <c r="D292" s="119" t="s">
        <v>1229</v>
      </c>
      <c r="E292" s="119" t="s">
        <v>836</v>
      </c>
      <c r="F292" s="119" t="s">
        <v>669</v>
      </c>
      <c r="G292" s="119" t="s">
        <v>1225</v>
      </c>
      <c r="H292" s="119" t="s">
        <v>1209</v>
      </c>
      <c r="I292" s="119" t="s">
        <v>668</v>
      </c>
      <c r="J292" s="119" t="s">
        <v>838</v>
      </c>
    </row>
    <row r="293" customFormat="false" ht="27.75" hidden="false" customHeight="true" outlineLevel="0" collapsed="false">
      <c r="A293" s="119" t="n">
        <v>288</v>
      </c>
      <c r="B293" s="119" t="s">
        <v>822</v>
      </c>
      <c r="C293" s="119" t="s">
        <v>63</v>
      </c>
      <c r="D293" s="119" t="s">
        <v>966</v>
      </c>
      <c r="E293" s="119" t="s">
        <v>967</v>
      </c>
      <c r="F293" s="119" t="s">
        <v>1230</v>
      </c>
      <c r="G293" s="119" t="s">
        <v>1231</v>
      </c>
      <c r="H293" s="119" t="s">
        <v>1209</v>
      </c>
      <c r="I293" s="119" t="s">
        <v>1232</v>
      </c>
      <c r="J293" s="119" t="s">
        <v>1233</v>
      </c>
    </row>
    <row r="294" customFormat="false" ht="54" hidden="false" customHeight="true" outlineLevel="0" collapsed="false">
      <c r="A294" s="119" t="n">
        <v>289</v>
      </c>
      <c r="B294" s="119" t="s">
        <v>822</v>
      </c>
      <c r="C294" s="119" t="s">
        <v>56</v>
      </c>
      <c r="D294" s="119" t="s">
        <v>1234</v>
      </c>
      <c r="E294" s="119" t="s">
        <v>628</v>
      </c>
      <c r="F294" s="119" t="s">
        <v>1235</v>
      </c>
      <c r="G294" s="119" t="s">
        <v>1236</v>
      </c>
      <c r="H294" s="119" t="s">
        <v>1237</v>
      </c>
      <c r="I294" s="119" t="s">
        <v>668</v>
      </c>
      <c r="J294" s="119" t="s">
        <v>1238</v>
      </c>
    </row>
    <row r="295" customFormat="false" ht="40.5" hidden="false" customHeight="true" outlineLevel="0" collapsed="false">
      <c r="A295" s="119" t="n">
        <v>290</v>
      </c>
      <c r="B295" s="119" t="s">
        <v>822</v>
      </c>
      <c r="C295" s="119" t="s">
        <v>56</v>
      </c>
      <c r="D295" s="119" t="s">
        <v>1239</v>
      </c>
      <c r="E295" s="119" t="s">
        <v>1240</v>
      </c>
      <c r="F295" s="119" t="s">
        <v>1235</v>
      </c>
      <c r="G295" s="119" t="s">
        <v>1241</v>
      </c>
      <c r="H295" s="119" t="s">
        <v>1237</v>
      </c>
      <c r="I295" s="119" t="s">
        <v>668</v>
      </c>
      <c r="J295" s="119" t="s">
        <v>1238</v>
      </c>
    </row>
    <row r="296" customFormat="false" ht="40.5" hidden="false" customHeight="true" outlineLevel="0" collapsed="false">
      <c r="A296" s="119" t="n">
        <v>291</v>
      </c>
      <c r="B296" s="119" t="s">
        <v>822</v>
      </c>
      <c r="C296" s="119" t="s">
        <v>1242</v>
      </c>
      <c r="D296" s="119" t="s">
        <v>1243</v>
      </c>
      <c r="E296" s="119" t="s">
        <v>1244</v>
      </c>
      <c r="F296" s="119" t="s">
        <v>1245</v>
      </c>
      <c r="G296" s="119" t="s">
        <v>1246</v>
      </c>
      <c r="H296" s="119" t="s">
        <v>827</v>
      </c>
      <c r="I296" s="119" t="s">
        <v>668</v>
      </c>
      <c r="J296" s="119" t="s">
        <v>1247</v>
      </c>
    </row>
    <row r="297" customFormat="false" ht="15" hidden="false" customHeight="true" outlineLevel="0" collapsed="false">
      <c r="A297" s="119" t="n">
        <v>292</v>
      </c>
      <c r="B297" s="119" t="s">
        <v>822</v>
      </c>
      <c r="C297" s="119" t="s">
        <v>65</v>
      </c>
      <c r="D297" s="119" t="s">
        <v>966</v>
      </c>
      <c r="E297" s="119" t="s">
        <v>967</v>
      </c>
      <c r="F297" s="119" t="s">
        <v>1248</v>
      </c>
      <c r="G297" s="119" t="s">
        <v>1249</v>
      </c>
      <c r="H297" s="119" t="s">
        <v>827</v>
      </c>
      <c r="I297" s="119" t="s">
        <v>668</v>
      </c>
      <c r="J297" s="119" t="s">
        <v>1233</v>
      </c>
    </row>
  </sheetData>
  <autoFilter ref="A5:J297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2026-09-22T14:29:27Z</dcterms:created>
  <dc:creator>openpyxl</dc:creator>
  <dc:description/>
  <dc:language>en-US</dc:language>
  <cp:lastModifiedBy/>
  <dcterms:modified xsi:type="dcterms:W3CDTF">2026-10-27T09:29:57Z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